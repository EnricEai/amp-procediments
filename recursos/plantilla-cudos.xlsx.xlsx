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amenitiespacknt-my.sharepoint.com/personal/e_espejo_amenitiespack_com/Documents/Escritorio/RADISSON GLOBAL/BUNZL UK/"/>
    </mc:Choice>
  </mc:AlternateContent>
  <xr:revisionPtr revIDLastSave="58" documentId="8_{86420214-DF72-454E-AE2C-D929E6C854D8}" xr6:coauthVersionLast="47" xr6:coauthVersionMax="47" xr10:uidLastSave="{641D5A08-4FFD-4C60-A36A-3D4BEDC79D9D}"/>
  <bookViews>
    <workbookView xWindow="-120" yWindow="-120" windowWidth="29040" windowHeight="15720" xr2:uid="{08CA938D-95CC-49D6-82B5-2010E1E72FA9}"/>
  </bookViews>
  <sheets>
    <sheet name="CUDOS" sheetId="3" r:id="rId1"/>
  </sheets>
  <definedNames>
    <definedName name="_xlnm._FilterDatabase" localSheetId="0" hidden="1">CUDOS!$B$1:$L$115</definedName>
    <definedName name="_xlnm.Print_Titles" localSheetId="0">CUDOS!$1:$1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L2" i="3" s="1"/>
  <c r="J2" i="3"/>
  <c r="K2" i="3" s="1"/>
  <c r="H3" i="3"/>
  <c r="J3" i="3"/>
  <c r="K3" i="3" s="1"/>
  <c r="H4" i="3"/>
  <c r="J4" i="3"/>
  <c r="K4" i="3" s="1"/>
  <c r="L4" i="3"/>
  <c r="H5" i="3"/>
  <c r="J5" i="3"/>
  <c r="K5" i="3" s="1"/>
  <c r="L5" i="3"/>
  <c r="H6" i="3"/>
  <c r="L6" i="3" s="1"/>
  <c r="J6" i="3"/>
  <c r="K6" i="3" s="1"/>
  <c r="H7" i="3"/>
  <c r="J7" i="3"/>
  <c r="K7" i="3" s="1"/>
  <c r="H8" i="3"/>
  <c r="J8" i="3"/>
  <c r="K8" i="3" s="1"/>
  <c r="L8" i="3"/>
  <c r="H9" i="3"/>
  <c r="J9" i="3"/>
  <c r="K9" i="3" s="1"/>
  <c r="L9" i="3"/>
  <c r="H10" i="3"/>
  <c r="L10" i="3" s="1"/>
  <c r="J10" i="3"/>
  <c r="K10" i="3" s="1"/>
  <c r="H11" i="3"/>
  <c r="J11" i="3"/>
  <c r="K11" i="3" s="1"/>
  <c r="H12" i="3"/>
  <c r="J12" i="3"/>
  <c r="K12" i="3" s="1"/>
  <c r="L12" i="3"/>
  <c r="H13" i="3"/>
  <c r="J13" i="3"/>
  <c r="K13" i="3" s="1"/>
  <c r="L13" i="3"/>
  <c r="H14" i="3"/>
  <c r="L14" i="3" s="1"/>
  <c r="J14" i="3"/>
  <c r="K14" i="3" s="1"/>
  <c r="H15" i="3"/>
  <c r="J15" i="3"/>
  <c r="K15" i="3" s="1"/>
  <c r="H16" i="3"/>
  <c r="J16" i="3"/>
  <c r="K16" i="3" s="1"/>
  <c r="L16" i="3"/>
  <c r="H17" i="3"/>
  <c r="J17" i="3"/>
  <c r="K17" i="3" s="1"/>
  <c r="L17" i="3"/>
  <c r="H18" i="3"/>
  <c r="L18" i="3" s="1"/>
  <c r="J18" i="3"/>
  <c r="K18" i="3" s="1"/>
  <c r="H19" i="3"/>
  <c r="J19" i="3"/>
  <c r="K19" i="3" s="1"/>
  <c r="H20" i="3"/>
  <c r="J20" i="3"/>
  <c r="K20" i="3" s="1"/>
  <c r="L20" i="3"/>
  <c r="H21" i="3"/>
  <c r="J21" i="3"/>
  <c r="K21" i="3" s="1"/>
  <c r="L21" i="3"/>
  <c r="H22" i="3"/>
  <c r="L22" i="3" s="1"/>
  <c r="J22" i="3"/>
  <c r="K22" i="3" s="1"/>
  <c r="H23" i="3"/>
  <c r="J23" i="3"/>
  <c r="K23" i="3" s="1"/>
  <c r="H24" i="3"/>
  <c r="J24" i="3"/>
  <c r="K24" i="3" s="1"/>
  <c r="L24" i="3"/>
  <c r="H25" i="3"/>
  <c r="J25" i="3"/>
  <c r="K25" i="3" s="1"/>
  <c r="L25" i="3"/>
  <c r="H26" i="3"/>
  <c r="L26" i="3" s="1"/>
  <c r="J26" i="3"/>
  <c r="K26" i="3" s="1"/>
  <c r="H27" i="3"/>
  <c r="J27" i="3"/>
  <c r="K27" i="3" s="1"/>
  <c r="H28" i="3"/>
  <c r="J28" i="3"/>
  <c r="K28" i="3" s="1"/>
  <c r="L28" i="3"/>
  <c r="H29" i="3"/>
  <c r="J29" i="3"/>
  <c r="K29" i="3" s="1"/>
  <c r="L29" i="3"/>
  <c r="H30" i="3"/>
  <c r="L30" i="3" s="1"/>
  <c r="J30" i="3"/>
  <c r="K30" i="3" s="1"/>
  <c r="H31" i="3"/>
  <c r="J31" i="3"/>
  <c r="K31" i="3" s="1"/>
  <c r="H32" i="3"/>
  <c r="J32" i="3"/>
  <c r="K32" i="3" s="1"/>
  <c r="L32" i="3"/>
  <c r="H33" i="3"/>
  <c r="J33" i="3"/>
  <c r="K33" i="3" s="1"/>
  <c r="L33" i="3"/>
  <c r="H34" i="3"/>
  <c r="L34" i="3" s="1"/>
  <c r="J34" i="3"/>
  <c r="K34" i="3" s="1"/>
  <c r="H35" i="3"/>
  <c r="J35" i="3"/>
  <c r="K35" i="3" s="1"/>
  <c r="H36" i="3"/>
  <c r="J36" i="3"/>
  <c r="K36" i="3" s="1"/>
  <c r="L36" i="3"/>
  <c r="H37" i="3"/>
  <c r="J37" i="3"/>
  <c r="K37" i="3" s="1"/>
  <c r="L37" i="3"/>
  <c r="H38" i="3"/>
  <c r="L38" i="3" s="1"/>
  <c r="J38" i="3"/>
  <c r="K38" i="3" s="1"/>
  <c r="H39" i="3"/>
  <c r="J39" i="3"/>
  <c r="K39" i="3" s="1"/>
  <c r="H40" i="3"/>
  <c r="J40" i="3"/>
  <c r="K40" i="3" s="1"/>
  <c r="L40" i="3"/>
  <c r="H41" i="3"/>
  <c r="J41" i="3"/>
  <c r="K41" i="3" s="1"/>
  <c r="L41" i="3"/>
  <c r="H42" i="3"/>
  <c r="L42" i="3" s="1"/>
  <c r="J42" i="3"/>
  <c r="K42" i="3" s="1"/>
  <c r="H43" i="3"/>
  <c r="J43" i="3"/>
  <c r="K43" i="3" s="1"/>
  <c r="H44" i="3"/>
  <c r="J44" i="3"/>
  <c r="K44" i="3" s="1"/>
  <c r="L44" i="3"/>
  <c r="H45" i="3"/>
  <c r="J45" i="3"/>
  <c r="K45" i="3" s="1"/>
  <c r="L45" i="3"/>
  <c r="H46" i="3"/>
  <c r="L46" i="3" s="1"/>
  <c r="J46" i="3"/>
  <c r="K46" i="3" s="1"/>
  <c r="H47" i="3"/>
  <c r="J47" i="3"/>
  <c r="K47" i="3" s="1"/>
  <c r="H48" i="3"/>
  <c r="J48" i="3"/>
  <c r="K48" i="3" s="1"/>
  <c r="L48" i="3"/>
  <c r="H49" i="3"/>
  <c r="J49" i="3"/>
  <c r="K49" i="3" s="1"/>
  <c r="L49" i="3"/>
  <c r="H50" i="3"/>
  <c r="L50" i="3" s="1"/>
  <c r="J50" i="3"/>
  <c r="K50" i="3" s="1"/>
  <c r="H51" i="3"/>
  <c r="J51" i="3"/>
  <c r="K51" i="3" s="1"/>
  <c r="H52" i="3"/>
  <c r="J52" i="3"/>
  <c r="K52" i="3" s="1"/>
  <c r="L52" i="3"/>
  <c r="H53" i="3"/>
  <c r="J53" i="3"/>
  <c r="K53" i="3" s="1"/>
  <c r="L53" i="3"/>
  <c r="H54" i="3"/>
  <c r="L54" i="3" s="1"/>
  <c r="J54" i="3"/>
  <c r="K54" i="3" s="1"/>
  <c r="H55" i="3"/>
  <c r="J55" i="3"/>
  <c r="K55" i="3" s="1"/>
  <c r="H56" i="3"/>
  <c r="J56" i="3"/>
  <c r="K56" i="3" s="1"/>
  <c r="L56" i="3"/>
  <c r="H57" i="3"/>
  <c r="J57" i="3"/>
  <c r="K57" i="3" s="1"/>
  <c r="L57" i="3"/>
  <c r="H58" i="3"/>
  <c r="L58" i="3" s="1"/>
  <c r="J58" i="3"/>
  <c r="K58" i="3" s="1"/>
  <c r="H59" i="3"/>
  <c r="J59" i="3"/>
  <c r="K59" i="3" s="1"/>
  <c r="H60" i="3"/>
  <c r="J60" i="3"/>
  <c r="K60" i="3" s="1"/>
  <c r="L60" i="3"/>
  <c r="H61" i="3"/>
  <c r="J61" i="3"/>
  <c r="K61" i="3" s="1"/>
  <c r="L61" i="3"/>
  <c r="H62" i="3"/>
  <c r="L62" i="3" s="1"/>
  <c r="J62" i="3"/>
  <c r="K62" i="3" s="1"/>
  <c r="H63" i="3"/>
  <c r="J63" i="3"/>
  <c r="K63" i="3" s="1"/>
  <c r="H64" i="3"/>
  <c r="J64" i="3"/>
  <c r="K64" i="3" s="1"/>
  <c r="L64" i="3"/>
  <c r="H65" i="3"/>
  <c r="J65" i="3"/>
  <c r="K65" i="3" s="1"/>
  <c r="L65" i="3"/>
  <c r="H66" i="3"/>
  <c r="L66" i="3" s="1"/>
  <c r="J66" i="3"/>
  <c r="K66" i="3" s="1"/>
  <c r="H67" i="3"/>
  <c r="J67" i="3"/>
  <c r="K67" i="3" s="1"/>
  <c r="H68" i="3"/>
  <c r="J68" i="3"/>
  <c r="K68" i="3" s="1"/>
  <c r="L68" i="3"/>
  <c r="H69" i="3"/>
  <c r="J69" i="3"/>
  <c r="K69" i="3" s="1"/>
  <c r="L69" i="3"/>
  <c r="H70" i="3"/>
  <c r="L70" i="3" s="1"/>
  <c r="J70" i="3"/>
  <c r="K70" i="3" s="1"/>
  <c r="H71" i="3"/>
  <c r="J71" i="3"/>
  <c r="K71" i="3" s="1"/>
  <c r="H72" i="3"/>
  <c r="J72" i="3"/>
  <c r="K72" i="3" s="1"/>
  <c r="L72" i="3"/>
  <c r="H73" i="3"/>
  <c r="J73" i="3"/>
  <c r="K73" i="3" s="1"/>
  <c r="L73" i="3"/>
  <c r="H74" i="3"/>
  <c r="J74" i="3"/>
  <c r="K74" i="3" s="1"/>
  <c r="H75" i="3"/>
  <c r="J75" i="3"/>
  <c r="K75" i="3" s="1"/>
  <c r="L75" i="3"/>
  <c r="H76" i="3"/>
  <c r="J76" i="3"/>
  <c r="K76" i="3" s="1"/>
  <c r="H77" i="3"/>
  <c r="J77" i="3"/>
  <c r="K77" i="3" s="1"/>
  <c r="H78" i="3"/>
  <c r="J78" i="3"/>
  <c r="K78" i="3" s="1"/>
  <c r="H79" i="3"/>
  <c r="L79" i="3" s="1"/>
  <c r="J79" i="3"/>
  <c r="K79" i="3" s="1"/>
  <c r="H80" i="3"/>
  <c r="J80" i="3"/>
  <c r="K80" i="3" s="1"/>
  <c r="H81" i="3"/>
  <c r="J81" i="3"/>
  <c r="K81" i="3" s="1"/>
  <c r="L81" i="3"/>
  <c r="H82" i="3"/>
  <c r="J82" i="3"/>
  <c r="K82" i="3" s="1"/>
  <c r="H83" i="3"/>
  <c r="J83" i="3"/>
  <c r="K83" i="3" s="1"/>
  <c r="L83" i="3"/>
  <c r="H84" i="3"/>
  <c r="J84" i="3"/>
  <c r="K84" i="3" s="1"/>
  <c r="H85" i="3"/>
  <c r="J85" i="3"/>
  <c r="K85" i="3" s="1"/>
  <c r="H86" i="3"/>
  <c r="J86" i="3"/>
  <c r="K86" i="3" s="1"/>
  <c r="H87" i="3"/>
  <c r="J87" i="3"/>
  <c r="K87" i="3"/>
  <c r="H88" i="3"/>
  <c r="J88" i="3"/>
  <c r="L88" i="3" s="1"/>
  <c r="H89" i="3"/>
  <c r="J89" i="3"/>
  <c r="L89" i="3" s="1"/>
  <c r="K89" i="3"/>
  <c r="H90" i="3"/>
  <c r="J90" i="3"/>
  <c r="L90" i="3" s="1"/>
  <c r="K90" i="3"/>
  <c r="H91" i="3"/>
  <c r="J91" i="3"/>
  <c r="K91" i="3"/>
  <c r="H92" i="3"/>
  <c r="J92" i="3"/>
  <c r="L92" i="3" s="1"/>
  <c r="H93" i="3"/>
  <c r="J93" i="3"/>
  <c r="L93" i="3" s="1"/>
  <c r="K93" i="3"/>
  <c r="H94" i="3"/>
  <c r="J94" i="3"/>
  <c r="L94" i="3" s="1"/>
  <c r="K94" i="3"/>
  <c r="H95" i="3"/>
  <c r="J95" i="3"/>
  <c r="K95" i="3"/>
  <c r="H96" i="3"/>
  <c r="J96" i="3"/>
  <c r="L96" i="3" s="1"/>
  <c r="H97" i="3"/>
  <c r="J97" i="3"/>
  <c r="L97" i="3" s="1"/>
  <c r="K97" i="3"/>
  <c r="H98" i="3"/>
  <c r="J98" i="3"/>
  <c r="L98" i="3" s="1"/>
  <c r="K98" i="3"/>
  <c r="H99" i="3"/>
  <c r="J99" i="3"/>
  <c r="K99" i="3"/>
  <c r="H100" i="3"/>
  <c r="J100" i="3"/>
  <c r="L100" i="3" s="1"/>
  <c r="H101" i="3"/>
  <c r="J101" i="3"/>
  <c r="L101" i="3" s="1"/>
  <c r="K101" i="3"/>
  <c r="H102" i="3"/>
  <c r="J102" i="3"/>
  <c r="L102" i="3" s="1"/>
  <c r="K102" i="3"/>
  <c r="H103" i="3"/>
  <c r="J103" i="3"/>
  <c r="K103" i="3"/>
  <c r="H104" i="3"/>
  <c r="J104" i="3"/>
  <c r="K104" i="3" s="1"/>
  <c r="H105" i="3"/>
  <c r="J105" i="3"/>
  <c r="K105" i="3" s="1"/>
  <c r="H106" i="3"/>
  <c r="J106" i="3"/>
  <c r="K106" i="3" s="1"/>
  <c r="H109" i="3"/>
  <c r="J109" i="3"/>
  <c r="K109" i="3" s="1"/>
  <c r="H110" i="3"/>
  <c r="J110" i="3"/>
  <c r="K110" i="3" s="1"/>
  <c r="H111" i="3"/>
  <c r="J111" i="3"/>
  <c r="L111" i="3" s="1"/>
  <c r="K111" i="3"/>
  <c r="H113" i="3"/>
  <c r="J113" i="3"/>
  <c r="K113" i="3"/>
  <c r="H114" i="3"/>
  <c r="J114" i="3"/>
  <c r="L114" i="3" s="1"/>
  <c r="H115" i="3"/>
  <c r="J115" i="3"/>
  <c r="K115" i="3"/>
  <c r="L115" i="3" l="1"/>
  <c r="L109" i="3"/>
  <c r="L106" i="3"/>
  <c r="L105" i="3"/>
  <c r="L104" i="3"/>
  <c r="K114" i="3"/>
  <c r="L113" i="3"/>
  <c r="L103" i="3"/>
  <c r="K100" i="3"/>
  <c r="L99" i="3"/>
  <c r="K96" i="3"/>
  <c r="L95" i="3"/>
  <c r="K92" i="3"/>
  <c r="L91" i="3"/>
  <c r="K88" i="3"/>
  <c r="L87" i="3"/>
  <c r="L85" i="3"/>
  <c r="L77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110" i="3"/>
  <c r="L86" i="3"/>
  <c r="L82" i="3"/>
  <c r="L78" i="3"/>
  <c r="L74" i="3"/>
  <c r="L84" i="3"/>
  <c r="L80" i="3"/>
  <c r="L76" i="3"/>
  <c r="K120" i="3"/>
  <c r="H112" i="3"/>
  <c r="J112" i="3"/>
  <c r="K112" i="3" s="1"/>
  <c r="J108" i="3"/>
  <c r="K108" i="3" s="1"/>
  <c r="H108" i="3"/>
  <c r="H107" i="3"/>
  <c r="J107" i="3"/>
  <c r="L108" i="3" l="1"/>
  <c r="L107" i="3"/>
  <c r="L112" i="3"/>
  <c r="K107" i="3"/>
</calcChain>
</file>

<file path=xl/sharedStrings.xml><?xml version="1.0" encoding="utf-8"?>
<sst xmlns="http://schemas.openxmlformats.org/spreadsheetml/2006/main" count="363" uniqueCount="239">
  <si>
    <t>BCS PRODUCT CODE</t>
  </si>
  <si>
    <t>Supplier Part No.</t>
  </si>
  <si>
    <t>Description</t>
  </si>
  <si>
    <t>Quantity per box</t>
  </si>
  <si>
    <t>Commodity Code</t>
  </si>
  <si>
    <t>Spec Sheet Origin</t>
  </si>
  <si>
    <t>Gross weight per case (kg)</t>
  </si>
  <si>
    <t>Net weight per case (kg)</t>
  </si>
  <si>
    <t>Units invoiced</t>
  </si>
  <si>
    <t>Total cases</t>
  </si>
  <si>
    <t>Total gross weight per item cases (kg)</t>
  </si>
  <si>
    <t>Total net weight per item cases (kg)</t>
  </si>
  <si>
    <t>XX</t>
  </si>
  <si>
    <t>GLOVES PACK 100UN L</t>
  </si>
  <si>
    <t>SPAIN</t>
  </si>
  <si>
    <t>PROTECTIVE MASK PACK 50UN</t>
  </si>
  <si>
    <t>PROTECTIVE MASK PACK 4X50UN</t>
  </si>
  <si>
    <t>GLOVES PACK 5X100UN L</t>
  </si>
  <si>
    <t>RHG STAND FOR DISPENSER 300ML SB</t>
  </si>
  <si>
    <t>RHG STAND FOR DISPENSER 400ML SC</t>
  </si>
  <si>
    <t>RHG 30ML HAND SANITIZER</t>
  </si>
  <si>
    <t>RHG SACHET 1,5ML HAND SANITIZER</t>
  </si>
  <si>
    <t>RHG 400ML SC HAND SANITIZER</t>
  </si>
  <si>
    <t>RHG 300ML SB HAND SANITIZER</t>
  </si>
  <si>
    <t>RHG CLEANING TOWELETTE</t>
  </si>
  <si>
    <t>RHG SAFETY KIT</t>
  </si>
  <si>
    <t>LRAD02</t>
  </si>
  <si>
    <t>WHITE BRACKET MOD2024</t>
  </si>
  <si>
    <t>CHINA</t>
  </si>
  <si>
    <t>LRAD03</t>
  </si>
  <si>
    <t>BLACK BRACKET MOD2024</t>
  </si>
  <si>
    <t>LRAD04</t>
  </si>
  <si>
    <t>BOTTLE 380ML BODY WASH RADISSON COLLECTION</t>
  </si>
  <si>
    <t>LRAD05</t>
  </si>
  <si>
    <t>BOTTLE 380ML SHAMPOO RADISSON COLLECTION</t>
  </si>
  <si>
    <t>LRAD06</t>
  </si>
  <si>
    <t>BOTTLE 380ML HAND WASH RADISSON COLLECTION</t>
  </si>
  <si>
    <t>LRAD07</t>
  </si>
  <si>
    <t>BOTTLE 380ML HAND&amp;BODY LOTION RADISSON COLLECTION</t>
  </si>
  <si>
    <t>LRAD08</t>
  </si>
  <si>
    <t>BOTTLE 380ML CONDITIONER RADISSON COLLECTION</t>
  </si>
  <si>
    <t>LRAD09</t>
  </si>
  <si>
    <t>BOTTLE 380ML BODY WASH RADISSON BLU</t>
  </si>
  <si>
    <t>LRAD10</t>
  </si>
  <si>
    <t>BOTTLE 380ML SHAMPOO RADISSON BLU</t>
  </si>
  <si>
    <t>LRAD11</t>
  </si>
  <si>
    <t>BOTTLE 380ML HAND WASH RADISSON BLU</t>
  </si>
  <si>
    <t>LRAD12</t>
  </si>
  <si>
    <t>BOTTLE 380ML HAND&amp;BODY LOTION RADISSON BLU</t>
  </si>
  <si>
    <t>LRAD13</t>
  </si>
  <si>
    <t>BOTTLE 380ML CONDITIONER RADISSON BLU</t>
  </si>
  <si>
    <t>LRAD14</t>
  </si>
  <si>
    <t>BOTTLE 380ML BODY WASH RADISSON RED</t>
  </si>
  <si>
    <t>LRAD15</t>
  </si>
  <si>
    <t>BOTTLE 380ML SHAMPOO RADISSON RED</t>
  </si>
  <si>
    <t>LRAD16</t>
  </si>
  <si>
    <t>BOTTLE 380ML HAND WASH RADISSON RED</t>
  </si>
  <si>
    <t>LRAD17</t>
  </si>
  <si>
    <t>BOTTLE 380ML HAND&amp;BODY LOTION RADISSON RED</t>
  </si>
  <si>
    <t>LRAD18</t>
  </si>
  <si>
    <t>BOTTLE 380ML CONDITIONER RADISSON RED</t>
  </si>
  <si>
    <t>LRAD19</t>
  </si>
  <si>
    <t>BOTTLE 380ML BODY WASH RADISSON</t>
  </si>
  <si>
    <t>LRAD20</t>
  </si>
  <si>
    <t>BOTTLE 380ML SHAMPOO RADISSON</t>
  </si>
  <si>
    <t>LRAD21</t>
  </si>
  <si>
    <t>BOTTLE 380ML HAND WASH RADISSON</t>
  </si>
  <si>
    <t>LRAD22</t>
  </si>
  <si>
    <t>BOTTLE 380ML HAND&amp;BODY LOTION RADISSON</t>
  </si>
  <si>
    <t>LRAD23</t>
  </si>
  <si>
    <t>BOTTLE 380ML CONDITIONER RADISSON</t>
  </si>
  <si>
    <t>LRAD24</t>
  </si>
  <si>
    <t>BOTTLE 380ML BODY WASH PARK INN</t>
  </si>
  <si>
    <t>LRAD25</t>
  </si>
  <si>
    <t>BOTTLE 380ML SHAMPOO PARK INN</t>
  </si>
  <si>
    <t>LRAD26</t>
  </si>
  <si>
    <t>BOTTLE 380ML HAND WASH PARK INN</t>
  </si>
  <si>
    <t>LRAD27</t>
  </si>
  <si>
    <t>BOTTLE 380ML HAND&amp;BODY LOTION PARK INN</t>
  </si>
  <si>
    <t>LRAD28</t>
  </si>
  <si>
    <t>BOTTLE 380ML CONDITIONER PARK INN</t>
  </si>
  <si>
    <t>LRAD29</t>
  </si>
  <si>
    <t>SLEEPING KIT C/C 02 STANDARD</t>
  </si>
  <si>
    <t>LRAD30</t>
  </si>
  <si>
    <t>SLIPPER CLOSED TOE RADISSON COLLECTION</t>
  </si>
  <si>
    <t>LRAD31</t>
  </si>
  <si>
    <t>SLIPPER FLIP FLOP RADISSON COLLECTION</t>
  </si>
  <si>
    <t>LRAD32</t>
  </si>
  <si>
    <t>SLIPPER CLOSED TOE RADISSON BLU</t>
  </si>
  <si>
    <t>LRAD33</t>
  </si>
  <si>
    <t>SLIPPER FLIP FLOP RADISSON BLU</t>
  </si>
  <si>
    <t>LRAD34</t>
  </si>
  <si>
    <t>SLIPPER CLOSED TOE RADISSON RED</t>
  </si>
  <si>
    <t>LRAD35</t>
  </si>
  <si>
    <t>SLIPPER FLIP FLOP RADISSON RED</t>
  </si>
  <si>
    <t>LRAD36</t>
  </si>
  <si>
    <t>SLIPPER CLOSED TOE RADISSON</t>
  </si>
  <si>
    <t>LRAD37</t>
  </si>
  <si>
    <t>SLIPPER FLIP FLOP RADISSON</t>
  </si>
  <si>
    <t>LRAD38</t>
  </si>
  <si>
    <t>SLIPPER CLOSED TOE PARK INN</t>
  </si>
  <si>
    <t>LRAD39</t>
  </si>
  <si>
    <t>SLIPPER FLIP FLOP PARK INN</t>
  </si>
  <si>
    <t>LRAD40</t>
  </si>
  <si>
    <t>LAUNDRY BAG RADISSON BLU</t>
  </si>
  <si>
    <t>LRAD41</t>
  </si>
  <si>
    <t>VANITY KIT RADISSON COLLECTION</t>
  </si>
  <si>
    <t>LRAD42</t>
  </si>
  <si>
    <t>LAUNDRY BAG NW RADISSON COLLECTION</t>
  </si>
  <si>
    <t>LRAD43</t>
  </si>
  <si>
    <t>LOOFAH RADISSON COLLECTION</t>
  </si>
  <si>
    <t>LRAD44</t>
  </si>
  <si>
    <t>PILLOW MIST RADISSON COLLECTION</t>
  </si>
  <si>
    <t>LRAD45</t>
  </si>
  <si>
    <t>COMB RADISSON COLLECTION</t>
  </si>
  <si>
    <t>LRAD46</t>
  </si>
  <si>
    <t>DENTAL KIT RADISSON COLLECTION</t>
  </si>
  <si>
    <t>LRAD47</t>
  </si>
  <si>
    <t>SHAVING KIT RADISSON COLLECTION</t>
  </si>
  <si>
    <t>LRAD48</t>
  </si>
  <si>
    <t>SHOWER CAP RADISSON COLLECTION</t>
  </si>
  <si>
    <t>LRAD49</t>
  </si>
  <si>
    <t>SEWING KIT RADISSON COLLECTION</t>
  </si>
  <si>
    <t>LRAD50</t>
  </si>
  <si>
    <t>SHOE HORN RADISSON COLLECTION</t>
  </si>
  <si>
    <t>LRAD51</t>
  </si>
  <si>
    <t>SHOE SHINE RADISSON COLLECTION</t>
  </si>
  <si>
    <t>LRAD52</t>
  </si>
  <si>
    <t>SHOPPING BAG RADISSON COLLECTION</t>
  </si>
  <si>
    <t>LRAD53</t>
  </si>
  <si>
    <t>BATH SALTS RADISSON COLLECTION</t>
  </si>
  <si>
    <t>LRAD54</t>
  </si>
  <si>
    <t>VANITY KIT RADISSON RED</t>
  </si>
  <si>
    <t>LRAD55</t>
  </si>
  <si>
    <t>LAUNDRY BAG RADISSON RED</t>
  </si>
  <si>
    <t>LRAD56</t>
  </si>
  <si>
    <t>BATH SALTS RADISSON RED</t>
  </si>
  <si>
    <t>LRAD57</t>
  </si>
  <si>
    <t>COMB RADISSON RED</t>
  </si>
  <si>
    <t>LRAD58</t>
  </si>
  <si>
    <t>DENTAL KIT RADISSON RED</t>
  </si>
  <si>
    <t>LRAD59</t>
  </si>
  <si>
    <t>SHAVING KIT RADISSON RED</t>
  </si>
  <si>
    <t>LRAD60</t>
  </si>
  <si>
    <t>SHOWER CAP RADISSON RED</t>
  </si>
  <si>
    <t>LRAD61</t>
  </si>
  <si>
    <t>SEWING KIT RADISSON RED</t>
  </si>
  <si>
    <t>LRAD62</t>
  </si>
  <si>
    <t>SHOE SHINE RADISSON RED</t>
  </si>
  <si>
    <t>LRAD63</t>
  </si>
  <si>
    <t>VANITY KIT RADISSON</t>
  </si>
  <si>
    <t>LRAD64</t>
  </si>
  <si>
    <t>LAUNDRY BAG RADISSON</t>
  </si>
  <si>
    <t>LRAD65</t>
  </si>
  <si>
    <t>BATH SALTS RADISSON</t>
  </si>
  <si>
    <t>LRAD66</t>
  </si>
  <si>
    <t>COMB RADISSON</t>
  </si>
  <si>
    <t>LRAD67</t>
  </si>
  <si>
    <t>DENTAL KIT RADISSON</t>
  </si>
  <si>
    <t>LRAD68</t>
  </si>
  <si>
    <t>SHAVING KIT RADISSON</t>
  </si>
  <si>
    <t>LRAD69</t>
  </si>
  <si>
    <t>SHOWER CAP RADISSON</t>
  </si>
  <si>
    <t>LRAD70</t>
  </si>
  <si>
    <t>SEWING KIT RADISSON</t>
  </si>
  <si>
    <t>LRAD71</t>
  </si>
  <si>
    <t>SHOE SHINE RADISSON</t>
  </si>
  <si>
    <t>LRAD72</t>
  </si>
  <si>
    <t>PILLOW MIST RADISSON</t>
  </si>
  <si>
    <t>LRAD73</t>
  </si>
  <si>
    <t>VANITY KIT PARK INN</t>
  </si>
  <si>
    <t>LRAD74</t>
  </si>
  <si>
    <t>LAUNDRY BAG PARK INN</t>
  </si>
  <si>
    <t>LRAD75</t>
  </si>
  <si>
    <t>COMB PARK INN</t>
  </si>
  <si>
    <t>LRAD76</t>
  </si>
  <si>
    <t>DENTAL KIT PARK INN</t>
  </si>
  <si>
    <t>LRAD77</t>
  </si>
  <si>
    <t>SHAVING KIT PARK INN</t>
  </si>
  <si>
    <t>LRAD78</t>
  </si>
  <si>
    <t>SHOWER CAP PARK INN</t>
  </si>
  <si>
    <t>LRAD79</t>
  </si>
  <si>
    <t>SEWING KIT PARK INN</t>
  </si>
  <si>
    <t>LRAD80</t>
  </si>
  <si>
    <t>SHOE SHINE PARK INN</t>
  </si>
  <si>
    <t>LRAD81</t>
  </si>
  <si>
    <t>VANITY KIT RADISSON BLU</t>
  </si>
  <si>
    <t>LRAD82</t>
  </si>
  <si>
    <t>PILLOW MIST RADISSON BLU</t>
  </si>
  <si>
    <t>LRAD83</t>
  </si>
  <si>
    <t>COMB RADISSON BLU</t>
  </si>
  <si>
    <t>LRAD84</t>
  </si>
  <si>
    <t>DENTAL KIT RADISSON BLU</t>
  </si>
  <si>
    <t>LRAD85</t>
  </si>
  <si>
    <t>SHAVING KIT RADISSON BLU</t>
  </si>
  <si>
    <t>LRAD86</t>
  </si>
  <si>
    <t>SHOWER CAP RADISSON BLU</t>
  </si>
  <si>
    <t>LRAD87</t>
  </si>
  <si>
    <t>SEWING KIT RADISSON BLU</t>
  </si>
  <si>
    <t>LRAD88</t>
  </si>
  <si>
    <t>SHOE HORN RADISSON BLU</t>
  </si>
  <si>
    <t>LRAD89</t>
  </si>
  <si>
    <t>SHOE SHINE RADISSON BLU</t>
  </si>
  <si>
    <t>LRAD90</t>
  </si>
  <si>
    <t>SHOPPING BAG RADISSON BLU</t>
  </si>
  <si>
    <t>LRAD91</t>
  </si>
  <si>
    <t>BATH SALTS RADISSON BLU</t>
  </si>
  <si>
    <t>LRAD92</t>
  </si>
  <si>
    <t>WOODEN HANGER</t>
  </si>
  <si>
    <t>LRAD93</t>
  </si>
  <si>
    <t>WOODEN HANGER WITH CLAMPS</t>
  </si>
  <si>
    <t>LRADB6</t>
  </si>
  <si>
    <t>PENCIL RADISSON COLLECTION</t>
  </si>
  <si>
    <t>LRADA3</t>
  </si>
  <si>
    <t>PENCIL RADISSON BLU</t>
  </si>
  <si>
    <t>LRADA4</t>
  </si>
  <si>
    <t>PENCIL RADISSON RED</t>
  </si>
  <si>
    <t xml:space="preserve">PENCIL RADISSON </t>
  </si>
  <si>
    <t>LRADA7</t>
  </si>
  <si>
    <t>PENCIL PARKINN</t>
  </si>
  <si>
    <t>LRADB7</t>
  </si>
  <si>
    <t>PEN RADISSON COLLECTION</t>
  </si>
  <si>
    <t>LRADA9</t>
  </si>
  <si>
    <t>PEN RADISSON BLU</t>
  </si>
  <si>
    <t>LRADB1</t>
  </si>
  <si>
    <t>PEN RADISSON RED</t>
  </si>
  <si>
    <t>LRADB2</t>
  </si>
  <si>
    <t>PEN RADISSON</t>
  </si>
  <si>
    <t>LRADB4</t>
  </si>
  <si>
    <t>PEN PARKINN</t>
  </si>
  <si>
    <t>Pallets send</t>
  </si>
  <si>
    <t>Gross weight per pallet (kg)</t>
  </si>
  <si>
    <t>Total gross weight per pallet (kg)</t>
  </si>
  <si>
    <t>PALLETS</t>
  </si>
  <si>
    <t>CUSTOMER ORDER:</t>
  </si>
  <si>
    <t xml:space="preserve">SUPPLIER REX NUMBER: </t>
  </si>
  <si>
    <t>ESREX5109</t>
  </si>
  <si>
    <t xml:space="preserve">INVOICE: </t>
  </si>
  <si>
    <t>24FC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</si>
</sst>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wrapText="1"/>
    </xf>
    <xf numFmtId="3" fontId="0" fillId="0" borderId="0" xfId="0" applyNumberFormat="1"/>
    <xf numFmtId="4" fontId="0" fillId="0" borderId="0" xfId="0" applyNumberFormat="1"/>
    <xf numFmtId="3" fontId="0" fillId="3" borderId="0" xfId="0" applyNumberFormat="1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029A-25CF-48CE-B7D1-48E4A6F629D9}">
  <sheetPr>
    <pageSetUpPr fitToPage="1"/>
  </sheetPr>
  <dimension ref="A1:L123"/>
  <sheetViews>
    <sheetView tabSelected="1" zoomScaleNormal="100" workbookViewId="0">
      <pane ySplit="1" topLeftCell="A92" activePane="bottomLeft" state="frozen"/>
      <selection pane="bottomLeft" activeCell="I121" sqref="I121"/>
    </sheetView>
  </sheetViews>
  <sheetFormatPr defaultColWidth="8.85546875" defaultRowHeight="15"/>
  <cols>
    <col min="1" max="1" width="10.5703125" customWidth="1"/>
    <col min="3" max="3" width="56.42578125" bestFit="1" customWidth="1"/>
    <col min="5" max="5" width="13" customWidth="1"/>
    <col min="9" max="9" width="8.85546875" style="2"/>
    <col min="10" max="10" width="10.85546875" customWidth="1"/>
    <col min="11" max="11" width="12.28515625" customWidth="1"/>
    <col min="12" max="12" width="11.5703125" customWidth="1"/>
  </cols>
  <sheetData>
    <row r="1" spans="1:12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719773</v>
      </c>
      <c r="C2" t="s">
        <v>13</v>
      </c>
      <c r="D2">
        <v>10</v>
      </c>
      <c r="E2">
        <v>3926200000</v>
      </c>
      <c r="F2" t="s">
        <v>14</v>
      </c>
      <c r="G2" s="3">
        <v>5.7</v>
      </c>
      <c r="H2" s="3">
        <f>G2-0.5</f>
        <v>5.2</v>
      </c>
      <c r="J2" s="2">
        <f>I2/D2</f>
        <v>0</v>
      </c>
      <c r="K2" s="3">
        <f>J2*G2</f>
        <v>0</v>
      </c>
      <c r="L2" s="3">
        <f>J2*H2</f>
        <v>0</v>
      </c>
    </row>
    <row r="3" spans="1:12">
      <c r="A3" t="s">
        <v>12</v>
      </c>
      <c r="B3">
        <v>719786</v>
      </c>
      <c r="C3" t="s">
        <v>15</v>
      </c>
      <c r="D3">
        <v>40</v>
      </c>
      <c r="E3">
        <v>6307900000</v>
      </c>
      <c r="F3" t="s">
        <v>14</v>
      </c>
      <c r="G3" s="3">
        <v>12</v>
      </c>
      <c r="H3" s="3">
        <f t="shared" ref="H3:H66" si="0">G3-0.5</f>
        <v>11.5</v>
      </c>
      <c r="J3" s="2">
        <f t="shared" ref="J3:J66" si="1">I3/D3</f>
        <v>0</v>
      </c>
      <c r="K3" s="3">
        <f t="shared" ref="K3:K66" si="2">J3*G3</f>
        <v>0</v>
      </c>
      <c r="L3" s="3">
        <f t="shared" ref="L3:L66" si="3">J3*H3</f>
        <v>0</v>
      </c>
    </row>
    <row r="4" spans="1:12">
      <c r="A4" t="s">
        <v>12</v>
      </c>
      <c r="B4">
        <v>719822</v>
      </c>
      <c r="C4" t="s">
        <v>16</v>
      </c>
      <c r="D4">
        <v>1</v>
      </c>
      <c r="E4">
        <v>6307900000</v>
      </c>
      <c r="F4" t="s">
        <v>14</v>
      </c>
      <c r="G4" s="3">
        <v>1.1000000000000001</v>
      </c>
      <c r="H4" s="3">
        <f t="shared" si="0"/>
        <v>0.60000000000000009</v>
      </c>
      <c r="J4" s="2">
        <f t="shared" si="1"/>
        <v>0</v>
      </c>
      <c r="K4" s="3">
        <f t="shared" si="2"/>
        <v>0</v>
      </c>
      <c r="L4" s="3">
        <f t="shared" si="3"/>
        <v>0</v>
      </c>
    </row>
    <row r="5" spans="1:12">
      <c r="A5" t="s">
        <v>12</v>
      </c>
      <c r="B5">
        <v>719823</v>
      </c>
      <c r="C5" t="s">
        <v>17</v>
      </c>
      <c r="D5">
        <v>1</v>
      </c>
      <c r="E5">
        <v>3926200000</v>
      </c>
      <c r="F5" t="s">
        <v>14</v>
      </c>
      <c r="G5" s="3">
        <v>3</v>
      </c>
      <c r="H5" s="3">
        <f t="shared" si="0"/>
        <v>2.5</v>
      </c>
      <c r="J5" s="2">
        <f t="shared" si="1"/>
        <v>0</v>
      </c>
      <c r="K5" s="3">
        <f t="shared" si="2"/>
        <v>0</v>
      </c>
      <c r="L5" s="3">
        <f t="shared" si="3"/>
        <v>0</v>
      </c>
    </row>
    <row r="6" spans="1:12">
      <c r="A6" t="s">
        <v>12</v>
      </c>
      <c r="B6">
        <v>719824</v>
      </c>
      <c r="C6" t="s">
        <v>18</v>
      </c>
      <c r="D6">
        <v>2</v>
      </c>
      <c r="E6">
        <v>3924900090</v>
      </c>
      <c r="F6" t="s">
        <v>14</v>
      </c>
      <c r="G6" s="3">
        <v>3.5</v>
      </c>
      <c r="H6" s="3">
        <f t="shared" si="0"/>
        <v>3</v>
      </c>
      <c r="J6" s="2">
        <f t="shared" si="1"/>
        <v>0</v>
      </c>
      <c r="K6" s="3">
        <f t="shared" si="2"/>
        <v>0</v>
      </c>
      <c r="L6" s="3">
        <f t="shared" si="3"/>
        <v>0</v>
      </c>
    </row>
    <row r="7" spans="1:12">
      <c r="A7" t="s">
        <v>12</v>
      </c>
      <c r="B7">
        <v>719825</v>
      </c>
      <c r="C7" t="s">
        <v>19</v>
      </c>
      <c r="D7">
        <v>2</v>
      </c>
      <c r="E7">
        <v>3924900090</v>
      </c>
      <c r="F7" t="s">
        <v>14</v>
      </c>
      <c r="G7" s="3">
        <v>3.5</v>
      </c>
      <c r="H7" s="3">
        <f t="shared" si="0"/>
        <v>3</v>
      </c>
      <c r="J7" s="2">
        <f t="shared" si="1"/>
        <v>0</v>
      </c>
      <c r="K7" s="3">
        <f t="shared" si="2"/>
        <v>0</v>
      </c>
      <c r="L7" s="3">
        <f t="shared" si="3"/>
        <v>0</v>
      </c>
    </row>
    <row r="8" spans="1:12">
      <c r="A8" t="s">
        <v>12</v>
      </c>
      <c r="B8">
        <v>720060</v>
      </c>
      <c r="C8" t="s">
        <v>20</v>
      </c>
      <c r="D8">
        <v>360</v>
      </c>
      <c r="E8">
        <v>3307490090</v>
      </c>
      <c r="F8" t="s">
        <v>14</v>
      </c>
      <c r="G8" s="3">
        <v>12</v>
      </c>
      <c r="H8" s="3">
        <f t="shared" si="0"/>
        <v>11.5</v>
      </c>
      <c r="J8" s="2">
        <f t="shared" si="1"/>
        <v>0</v>
      </c>
      <c r="K8" s="3">
        <f t="shared" si="2"/>
        <v>0</v>
      </c>
      <c r="L8" s="3">
        <f t="shared" si="3"/>
        <v>0</v>
      </c>
    </row>
    <row r="9" spans="1:12">
      <c r="A9" t="s">
        <v>12</v>
      </c>
      <c r="B9">
        <v>720061</v>
      </c>
      <c r="C9" t="s">
        <v>21</v>
      </c>
      <c r="D9">
        <v>2500</v>
      </c>
      <c r="E9">
        <v>3307490090</v>
      </c>
      <c r="F9" t="s">
        <v>14</v>
      </c>
      <c r="G9" s="3">
        <v>5</v>
      </c>
      <c r="H9" s="3">
        <f t="shared" si="0"/>
        <v>4.5</v>
      </c>
      <c r="J9" s="2">
        <f t="shared" si="1"/>
        <v>0</v>
      </c>
      <c r="K9" s="3">
        <f t="shared" si="2"/>
        <v>0</v>
      </c>
      <c r="L9" s="3">
        <f t="shared" si="3"/>
        <v>0</v>
      </c>
    </row>
    <row r="10" spans="1:12">
      <c r="A10" t="s">
        <v>12</v>
      </c>
      <c r="B10">
        <v>720062</v>
      </c>
      <c r="C10" t="s">
        <v>22</v>
      </c>
      <c r="D10">
        <v>23</v>
      </c>
      <c r="E10">
        <v>3307490090</v>
      </c>
      <c r="F10" t="s">
        <v>14</v>
      </c>
      <c r="G10" s="3">
        <v>7.5</v>
      </c>
      <c r="H10" s="3">
        <f t="shared" si="0"/>
        <v>7</v>
      </c>
      <c r="J10" s="2">
        <f t="shared" si="1"/>
        <v>0</v>
      </c>
      <c r="K10" s="3">
        <f t="shared" si="2"/>
        <v>0</v>
      </c>
      <c r="L10" s="3">
        <f t="shared" si="3"/>
        <v>0</v>
      </c>
    </row>
    <row r="11" spans="1:12">
      <c r="A11" t="s">
        <v>12</v>
      </c>
      <c r="B11">
        <v>720063</v>
      </c>
      <c r="C11" t="s">
        <v>23</v>
      </c>
      <c r="D11">
        <v>30</v>
      </c>
      <c r="E11">
        <v>3307490090</v>
      </c>
      <c r="F11" t="s">
        <v>14</v>
      </c>
      <c r="G11" s="3">
        <v>9</v>
      </c>
      <c r="H11" s="3">
        <f t="shared" si="0"/>
        <v>8.5</v>
      </c>
      <c r="J11" s="2">
        <f t="shared" si="1"/>
        <v>0</v>
      </c>
      <c r="K11" s="3">
        <f t="shared" si="2"/>
        <v>0</v>
      </c>
      <c r="L11" s="3">
        <f t="shared" si="3"/>
        <v>0</v>
      </c>
    </row>
    <row r="12" spans="1:12">
      <c r="A12" t="s">
        <v>12</v>
      </c>
      <c r="B12">
        <v>720064</v>
      </c>
      <c r="C12" t="s">
        <v>24</v>
      </c>
      <c r="D12">
        <v>800</v>
      </c>
      <c r="E12">
        <v>3307490090</v>
      </c>
      <c r="F12" t="s">
        <v>14</v>
      </c>
      <c r="G12" s="3">
        <v>4.5</v>
      </c>
      <c r="H12" s="3">
        <f t="shared" si="0"/>
        <v>4</v>
      </c>
      <c r="J12" s="2">
        <f t="shared" si="1"/>
        <v>0</v>
      </c>
      <c r="K12" s="3">
        <f t="shared" si="2"/>
        <v>0</v>
      </c>
      <c r="L12" s="3">
        <f t="shared" si="3"/>
        <v>0</v>
      </c>
    </row>
    <row r="13" spans="1:12">
      <c r="A13" t="s">
        <v>12</v>
      </c>
      <c r="B13">
        <v>720589</v>
      </c>
      <c r="C13" t="s">
        <v>25</v>
      </c>
      <c r="D13">
        <v>125</v>
      </c>
      <c r="E13">
        <v>3307490090</v>
      </c>
      <c r="F13" t="s">
        <v>14</v>
      </c>
      <c r="G13" s="3">
        <v>8</v>
      </c>
      <c r="H13" s="3">
        <f t="shared" si="0"/>
        <v>7.5</v>
      </c>
      <c r="J13" s="2">
        <f t="shared" si="1"/>
        <v>0</v>
      </c>
      <c r="K13" s="3">
        <f t="shared" si="2"/>
        <v>0</v>
      </c>
      <c r="L13" s="3">
        <f t="shared" si="3"/>
        <v>0</v>
      </c>
    </row>
    <row r="14" spans="1:12">
      <c r="A14" t="s">
        <v>26</v>
      </c>
      <c r="B14">
        <v>725327</v>
      </c>
      <c r="C14" t="s">
        <v>27</v>
      </c>
      <c r="D14">
        <v>200</v>
      </c>
      <c r="E14">
        <v>3924900090</v>
      </c>
      <c r="F14" t="s">
        <v>28</v>
      </c>
      <c r="G14" s="3">
        <v>7.2</v>
      </c>
      <c r="H14" s="3">
        <f t="shared" si="0"/>
        <v>6.7</v>
      </c>
      <c r="J14" s="2">
        <f t="shared" si="1"/>
        <v>0</v>
      </c>
      <c r="K14" s="3">
        <f t="shared" si="2"/>
        <v>0</v>
      </c>
      <c r="L14" s="3">
        <f t="shared" si="3"/>
        <v>0</v>
      </c>
    </row>
    <row r="15" spans="1:12">
      <c r="A15" t="s">
        <v>29</v>
      </c>
      <c r="B15">
        <v>725328</v>
      </c>
      <c r="C15" t="s">
        <v>30</v>
      </c>
      <c r="D15">
        <v>200</v>
      </c>
      <c r="E15">
        <v>3924900090</v>
      </c>
      <c r="F15" t="s">
        <v>28</v>
      </c>
      <c r="G15" s="3">
        <v>7.2</v>
      </c>
      <c r="H15" s="3">
        <f t="shared" si="0"/>
        <v>6.7</v>
      </c>
      <c r="J15" s="2">
        <f t="shared" si="1"/>
        <v>0</v>
      </c>
      <c r="K15" s="3">
        <f t="shared" si="2"/>
        <v>0</v>
      </c>
      <c r="L15" s="3">
        <f t="shared" si="3"/>
        <v>0</v>
      </c>
    </row>
    <row r="16" spans="1:12">
      <c r="A16" t="s">
        <v>31</v>
      </c>
      <c r="B16">
        <v>725470</v>
      </c>
      <c r="C16" t="s">
        <v>32</v>
      </c>
      <c r="D16">
        <v>24</v>
      </c>
      <c r="E16">
        <v>3401300000</v>
      </c>
      <c r="F16" t="s">
        <v>14</v>
      </c>
      <c r="G16" s="3">
        <v>11</v>
      </c>
      <c r="H16" s="3">
        <f t="shared" si="0"/>
        <v>10.5</v>
      </c>
      <c r="J16" s="2">
        <f t="shared" si="1"/>
        <v>0</v>
      </c>
      <c r="K16" s="3">
        <f t="shared" si="2"/>
        <v>0</v>
      </c>
      <c r="L16" s="3">
        <f t="shared" si="3"/>
        <v>0</v>
      </c>
    </row>
    <row r="17" spans="1:12">
      <c r="A17" t="s">
        <v>33</v>
      </c>
      <c r="B17">
        <v>725471</v>
      </c>
      <c r="C17" t="s">
        <v>34</v>
      </c>
      <c r="D17">
        <v>24</v>
      </c>
      <c r="E17">
        <v>3305100000</v>
      </c>
      <c r="F17" t="s">
        <v>14</v>
      </c>
      <c r="G17" s="3">
        <v>11</v>
      </c>
      <c r="H17" s="3">
        <f t="shared" si="0"/>
        <v>10.5</v>
      </c>
      <c r="J17" s="2">
        <f t="shared" si="1"/>
        <v>0</v>
      </c>
      <c r="K17" s="3">
        <f t="shared" si="2"/>
        <v>0</v>
      </c>
      <c r="L17" s="3">
        <f t="shared" si="3"/>
        <v>0</v>
      </c>
    </row>
    <row r="18" spans="1:12">
      <c r="A18" t="s">
        <v>35</v>
      </c>
      <c r="B18">
        <v>725472</v>
      </c>
      <c r="C18" t="s">
        <v>36</v>
      </c>
      <c r="D18">
        <v>24</v>
      </c>
      <c r="E18">
        <v>3401300000</v>
      </c>
      <c r="F18" t="s">
        <v>14</v>
      </c>
      <c r="G18" s="3">
        <v>11</v>
      </c>
      <c r="H18" s="3">
        <f t="shared" si="0"/>
        <v>10.5</v>
      </c>
      <c r="J18" s="2">
        <f t="shared" si="1"/>
        <v>0</v>
      </c>
      <c r="K18" s="3">
        <f t="shared" si="2"/>
        <v>0</v>
      </c>
      <c r="L18" s="3">
        <f t="shared" si="3"/>
        <v>0</v>
      </c>
    </row>
    <row r="19" spans="1:12">
      <c r="A19" t="s">
        <v>37</v>
      </c>
      <c r="B19">
        <v>725473</v>
      </c>
      <c r="C19" t="s">
        <v>38</v>
      </c>
      <c r="D19">
        <v>24</v>
      </c>
      <c r="E19">
        <v>3304990000</v>
      </c>
      <c r="F19" t="s">
        <v>14</v>
      </c>
      <c r="G19" s="3">
        <v>11</v>
      </c>
      <c r="H19" s="3">
        <f t="shared" si="0"/>
        <v>10.5</v>
      </c>
      <c r="J19" s="2">
        <f t="shared" si="1"/>
        <v>0</v>
      </c>
      <c r="K19" s="3">
        <f t="shared" si="2"/>
        <v>0</v>
      </c>
      <c r="L19" s="3">
        <f t="shared" si="3"/>
        <v>0</v>
      </c>
    </row>
    <row r="20" spans="1:12">
      <c r="A20" t="s">
        <v>39</v>
      </c>
      <c r="B20">
        <v>725474</v>
      </c>
      <c r="C20" t="s">
        <v>40</v>
      </c>
      <c r="D20">
        <v>24</v>
      </c>
      <c r="E20">
        <v>3305900000</v>
      </c>
      <c r="F20" t="s">
        <v>14</v>
      </c>
      <c r="G20" s="3">
        <v>11</v>
      </c>
      <c r="H20" s="3">
        <f t="shared" si="0"/>
        <v>10.5</v>
      </c>
      <c r="J20" s="2">
        <f t="shared" si="1"/>
        <v>0</v>
      </c>
      <c r="K20" s="3">
        <f t="shared" si="2"/>
        <v>0</v>
      </c>
      <c r="L20" s="3">
        <f t="shared" si="3"/>
        <v>0</v>
      </c>
    </row>
    <row r="21" spans="1:12">
      <c r="A21" t="s">
        <v>41</v>
      </c>
      <c r="B21">
        <v>725475</v>
      </c>
      <c r="C21" t="s">
        <v>42</v>
      </c>
      <c r="D21">
        <v>24</v>
      </c>
      <c r="E21">
        <v>3401300000</v>
      </c>
      <c r="F21" t="s">
        <v>14</v>
      </c>
      <c r="G21" s="3">
        <v>11</v>
      </c>
      <c r="H21" s="3">
        <f t="shared" si="0"/>
        <v>10.5</v>
      </c>
      <c r="J21" s="2">
        <f t="shared" si="1"/>
        <v>0</v>
      </c>
      <c r="K21" s="3">
        <f t="shared" si="2"/>
        <v>0</v>
      </c>
      <c r="L21" s="3">
        <f t="shared" si="3"/>
        <v>0</v>
      </c>
    </row>
    <row r="22" spans="1:12">
      <c r="A22" t="s">
        <v>43</v>
      </c>
      <c r="B22">
        <v>725476</v>
      </c>
      <c r="C22" t="s">
        <v>44</v>
      </c>
      <c r="D22">
        <v>24</v>
      </c>
      <c r="E22">
        <v>3305100000</v>
      </c>
      <c r="F22" t="s">
        <v>14</v>
      </c>
      <c r="G22" s="3">
        <v>11</v>
      </c>
      <c r="H22" s="3">
        <f t="shared" si="0"/>
        <v>10.5</v>
      </c>
      <c r="J22" s="2">
        <f t="shared" si="1"/>
        <v>0</v>
      </c>
      <c r="K22" s="3">
        <f t="shared" si="2"/>
        <v>0</v>
      </c>
      <c r="L22" s="3">
        <f t="shared" si="3"/>
        <v>0</v>
      </c>
    </row>
    <row r="23" spans="1:12">
      <c r="A23" t="s">
        <v>45</v>
      </c>
      <c r="B23">
        <v>725477</v>
      </c>
      <c r="C23" t="s">
        <v>46</v>
      </c>
      <c r="D23">
        <v>24</v>
      </c>
      <c r="E23">
        <v>3401300000</v>
      </c>
      <c r="F23" t="s">
        <v>14</v>
      </c>
      <c r="G23" s="3">
        <v>11</v>
      </c>
      <c r="H23" s="3">
        <f t="shared" si="0"/>
        <v>10.5</v>
      </c>
      <c r="J23" s="2">
        <f t="shared" si="1"/>
        <v>0</v>
      </c>
      <c r="K23" s="3">
        <f t="shared" si="2"/>
        <v>0</v>
      </c>
      <c r="L23" s="3">
        <f t="shared" si="3"/>
        <v>0</v>
      </c>
    </row>
    <row r="24" spans="1:12">
      <c r="A24" t="s">
        <v>47</v>
      </c>
      <c r="B24">
        <v>725478</v>
      </c>
      <c r="C24" t="s">
        <v>48</v>
      </c>
      <c r="D24">
        <v>24</v>
      </c>
      <c r="E24">
        <v>3304990000</v>
      </c>
      <c r="F24" t="s">
        <v>14</v>
      </c>
      <c r="G24" s="3">
        <v>11</v>
      </c>
      <c r="H24" s="3">
        <f t="shared" si="0"/>
        <v>10.5</v>
      </c>
      <c r="J24" s="2">
        <f t="shared" si="1"/>
        <v>0</v>
      </c>
      <c r="K24" s="3">
        <f t="shared" si="2"/>
        <v>0</v>
      </c>
      <c r="L24" s="3">
        <f t="shared" si="3"/>
        <v>0</v>
      </c>
    </row>
    <row r="25" spans="1:12">
      <c r="A25" t="s">
        <v>49</v>
      </c>
      <c r="B25">
        <v>725479</v>
      </c>
      <c r="C25" t="s">
        <v>50</v>
      </c>
      <c r="D25">
        <v>24</v>
      </c>
      <c r="E25">
        <v>3305900000</v>
      </c>
      <c r="F25" t="s">
        <v>14</v>
      </c>
      <c r="G25" s="3">
        <v>11</v>
      </c>
      <c r="H25" s="3">
        <f t="shared" si="0"/>
        <v>10.5</v>
      </c>
      <c r="J25" s="2">
        <f t="shared" si="1"/>
        <v>0</v>
      </c>
      <c r="K25" s="3">
        <f t="shared" si="2"/>
        <v>0</v>
      </c>
      <c r="L25" s="3">
        <f t="shared" si="3"/>
        <v>0</v>
      </c>
    </row>
    <row r="26" spans="1:12">
      <c r="A26" t="s">
        <v>51</v>
      </c>
      <c r="B26">
        <v>725480</v>
      </c>
      <c r="C26" t="s">
        <v>52</v>
      </c>
      <c r="D26">
        <v>24</v>
      </c>
      <c r="E26">
        <v>3401300000</v>
      </c>
      <c r="F26" t="s">
        <v>14</v>
      </c>
      <c r="G26" s="3">
        <v>11</v>
      </c>
      <c r="H26" s="3">
        <f t="shared" si="0"/>
        <v>10.5</v>
      </c>
      <c r="J26" s="2">
        <f t="shared" si="1"/>
        <v>0</v>
      </c>
      <c r="K26" s="3">
        <f t="shared" si="2"/>
        <v>0</v>
      </c>
      <c r="L26" s="3">
        <f t="shared" si="3"/>
        <v>0</v>
      </c>
    </row>
    <row r="27" spans="1:12">
      <c r="A27" t="s">
        <v>53</v>
      </c>
      <c r="B27">
        <v>725481</v>
      </c>
      <c r="C27" t="s">
        <v>54</v>
      </c>
      <c r="D27">
        <v>24</v>
      </c>
      <c r="E27">
        <v>3305100000</v>
      </c>
      <c r="F27" t="s">
        <v>14</v>
      </c>
      <c r="G27" s="3">
        <v>11</v>
      </c>
      <c r="H27" s="3">
        <f t="shared" si="0"/>
        <v>10.5</v>
      </c>
      <c r="J27" s="2">
        <f t="shared" si="1"/>
        <v>0</v>
      </c>
      <c r="K27" s="3">
        <f t="shared" si="2"/>
        <v>0</v>
      </c>
      <c r="L27" s="3">
        <f t="shared" si="3"/>
        <v>0</v>
      </c>
    </row>
    <row r="28" spans="1:12">
      <c r="A28" t="s">
        <v>55</v>
      </c>
      <c r="B28">
        <v>725482</v>
      </c>
      <c r="C28" t="s">
        <v>56</v>
      </c>
      <c r="D28">
        <v>24</v>
      </c>
      <c r="E28">
        <v>3401300000</v>
      </c>
      <c r="F28" t="s">
        <v>14</v>
      </c>
      <c r="G28" s="3">
        <v>11</v>
      </c>
      <c r="H28" s="3">
        <f t="shared" si="0"/>
        <v>10.5</v>
      </c>
      <c r="J28" s="2">
        <f t="shared" si="1"/>
        <v>0</v>
      </c>
      <c r="K28" s="3">
        <f t="shared" si="2"/>
        <v>0</v>
      </c>
      <c r="L28" s="3">
        <f t="shared" si="3"/>
        <v>0</v>
      </c>
    </row>
    <row r="29" spans="1:12">
      <c r="A29" t="s">
        <v>57</v>
      </c>
      <c r="B29">
        <v>725483</v>
      </c>
      <c r="C29" t="s">
        <v>58</v>
      </c>
      <c r="D29">
        <v>24</v>
      </c>
      <c r="E29">
        <v>3304990000</v>
      </c>
      <c r="F29" t="s">
        <v>14</v>
      </c>
      <c r="G29" s="3">
        <v>11</v>
      </c>
      <c r="H29" s="3">
        <f t="shared" si="0"/>
        <v>10.5</v>
      </c>
      <c r="J29" s="2">
        <f t="shared" si="1"/>
        <v>0</v>
      </c>
      <c r="K29" s="3">
        <f t="shared" si="2"/>
        <v>0</v>
      </c>
      <c r="L29" s="3">
        <f t="shared" si="3"/>
        <v>0</v>
      </c>
    </row>
    <row r="30" spans="1:12">
      <c r="A30" t="s">
        <v>59</v>
      </c>
      <c r="B30">
        <v>725484</v>
      </c>
      <c r="C30" t="s">
        <v>60</v>
      </c>
      <c r="D30">
        <v>24</v>
      </c>
      <c r="E30">
        <v>3305900000</v>
      </c>
      <c r="F30" t="s">
        <v>14</v>
      </c>
      <c r="G30" s="3">
        <v>11</v>
      </c>
      <c r="H30" s="3">
        <f t="shared" si="0"/>
        <v>10.5</v>
      </c>
      <c r="J30" s="2">
        <f t="shared" si="1"/>
        <v>0</v>
      </c>
      <c r="K30" s="3">
        <f t="shared" si="2"/>
        <v>0</v>
      </c>
      <c r="L30" s="3">
        <f t="shared" si="3"/>
        <v>0</v>
      </c>
    </row>
    <row r="31" spans="1:12">
      <c r="A31" t="s">
        <v>61</v>
      </c>
      <c r="B31">
        <v>725485</v>
      </c>
      <c r="C31" t="s">
        <v>62</v>
      </c>
      <c r="D31">
        <v>24</v>
      </c>
      <c r="E31">
        <v>3401300000</v>
      </c>
      <c r="F31" t="s">
        <v>14</v>
      </c>
      <c r="G31" s="3">
        <v>11</v>
      </c>
      <c r="H31" s="3">
        <f t="shared" si="0"/>
        <v>10.5</v>
      </c>
      <c r="J31" s="2">
        <f t="shared" si="1"/>
        <v>0</v>
      </c>
      <c r="K31" s="3">
        <f t="shared" si="2"/>
        <v>0</v>
      </c>
      <c r="L31" s="3">
        <f t="shared" si="3"/>
        <v>0</v>
      </c>
    </row>
    <row r="32" spans="1:12">
      <c r="A32" t="s">
        <v>63</v>
      </c>
      <c r="B32">
        <v>725486</v>
      </c>
      <c r="C32" t="s">
        <v>64</v>
      </c>
      <c r="D32">
        <v>24</v>
      </c>
      <c r="E32">
        <v>3305100000</v>
      </c>
      <c r="F32" t="s">
        <v>14</v>
      </c>
      <c r="G32" s="3">
        <v>11</v>
      </c>
      <c r="H32" s="3">
        <f t="shared" si="0"/>
        <v>10.5</v>
      </c>
      <c r="J32" s="2">
        <f t="shared" si="1"/>
        <v>0</v>
      </c>
      <c r="K32" s="3">
        <f t="shared" si="2"/>
        <v>0</v>
      </c>
      <c r="L32" s="3">
        <f t="shared" si="3"/>
        <v>0</v>
      </c>
    </row>
    <row r="33" spans="1:12">
      <c r="A33" t="s">
        <v>65</v>
      </c>
      <c r="B33">
        <v>725487</v>
      </c>
      <c r="C33" t="s">
        <v>66</v>
      </c>
      <c r="D33">
        <v>24</v>
      </c>
      <c r="E33">
        <v>3401300000</v>
      </c>
      <c r="F33" t="s">
        <v>14</v>
      </c>
      <c r="G33" s="3">
        <v>11</v>
      </c>
      <c r="H33" s="3">
        <f t="shared" si="0"/>
        <v>10.5</v>
      </c>
      <c r="J33" s="2">
        <f t="shared" si="1"/>
        <v>0</v>
      </c>
      <c r="K33" s="3">
        <f t="shared" si="2"/>
        <v>0</v>
      </c>
      <c r="L33" s="3">
        <f t="shared" si="3"/>
        <v>0</v>
      </c>
    </row>
    <row r="34" spans="1:12">
      <c r="A34" t="s">
        <v>67</v>
      </c>
      <c r="B34">
        <v>725488</v>
      </c>
      <c r="C34" t="s">
        <v>68</v>
      </c>
      <c r="D34">
        <v>24</v>
      </c>
      <c r="E34">
        <v>3304990000</v>
      </c>
      <c r="F34" t="s">
        <v>14</v>
      </c>
      <c r="G34" s="3">
        <v>11</v>
      </c>
      <c r="H34" s="3">
        <f t="shared" si="0"/>
        <v>10.5</v>
      </c>
      <c r="J34" s="2">
        <f t="shared" si="1"/>
        <v>0</v>
      </c>
      <c r="K34" s="3">
        <f t="shared" si="2"/>
        <v>0</v>
      </c>
      <c r="L34" s="3">
        <f t="shared" si="3"/>
        <v>0</v>
      </c>
    </row>
    <row r="35" spans="1:12">
      <c r="A35" t="s">
        <v>69</v>
      </c>
      <c r="B35">
        <v>725489</v>
      </c>
      <c r="C35" t="s">
        <v>70</v>
      </c>
      <c r="D35">
        <v>24</v>
      </c>
      <c r="E35">
        <v>3305900000</v>
      </c>
      <c r="F35" t="s">
        <v>14</v>
      </c>
      <c r="G35" s="3">
        <v>11</v>
      </c>
      <c r="H35" s="3">
        <f t="shared" si="0"/>
        <v>10.5</v>
      </c>
      <c r="J35" s="2">
        <f t="shared" si="1"/>
        <v>0</v>
      </c>
      <c r="K35" s="3">
        <f t="shared" si="2"/>
        <v>0</v>
      </c>
      <c r="L35" s="3">
        <f t="shared" si="3"/>
        <v>0</v>
      </c>
    </row>
    <row r="36" spans="1:12">
      <c r="A36" t="s">
        <v>71</v>
      </c>
      <c r="B36">
        <v>725500</v>
      </c>
      <c r="C36" t="s">
        <v>72</v>
      </c>
      <c r="D36">
        <v>24</v>
      </c>
      <c r="E36">
        <v>3401300000</v>
      </c>
      <c r="F36" t="s">
        <v>14</v>
      </c>
      <c r="G36" s="3">
        <v>11</v>
      </c>
      <c r="H36" s="3">
        <f t="shared" si="0"/>
        <v>10.5</v>
      </c>
      <c r="J36" s="2">
        <f t="shared" si="1"/>
        <v>0</v>
      </c>
      <c r="K36" s="3">
        <f t="shared" si="2"/>
        <v>0</v>
      </c>
      <c r="L36" s="3">
        <f t="shared" si="3"/>
        <v>0</v>
      </c>
    </row>
    <row r="37" spans="1:12">
      <c r="A37" t="s">
        <v>73</v>
      </c>
      <c r="B37">
        <v>725501</v>
      </c>
      <c r="C37" t="s">
        <v>74</v>
      </c>
      <c r="D37">
        <v>24</v>
      </c>
      <c r="E37">
        <v>3305100000</v>
      </c>
      <c r="F37" t="s">
        <v>14</v>
      </c>
      <c r="G37" s="3">
        <v>11</v>
      </c>
      <c r="H37" s="3">
        <f t="shared" si="0"/>
        <v>10.5</v>
      </c>
      <c r="J37" s="2">
        <f t="shared" si="1"/>
        <v>0</v>
      </c>
      <c r="K37" s="3">
        <f t="shared" si="2"/>
        <v>0</v>
      </c>
      <c r="L37" s="3">
        <f t="shared" si="3"/>
        <v>0</v>
      </c>
    </row>
    <row r="38" spans="1:12">
      <c r="A38" t="s">
        <v>75</v>
      </c>
      <c r="B38">
        <v>725502</v>
      </c>
      <c r="C38" t="s">
        <v>76</v>
      </c>
      <c r="D38">
        <v>24</v>
      </c>
      <c r="E38">
        <v>3401300000</v>
      </c>
      <c r="F38" t="s">
        <v>14</v>
      </c>
      <c r="G38" s="3">
        <v>11</v>
      </c>
      <c r="H38" s="3">
        <f t="shared" si="0"/>
        <v>10.5</v>
      </c>
      <c r="J38" s="2">
        <f t="shared" si="1"/>
        <v>0</v>
      </c>
      <c r="K38" s="3">
        <f t="shared" si="2"/>
        <v>0</v>
      </c>
      <c r="L38" s="3">
        <f t="shared" si="3"/>
        <v>0</v>
      </c>
    </row>
    <row r="39" spans="1:12">
      <c r="A39" t="s">
        <v>77</v>
      </c>
      <c r="B39">
        <v>725503</v>
      </c>
      <c r="C39" t="s">
        <v>78</v>
      </c>
      <c r="D39">
        <v>24</v>
      </c>
      <c r="E39">
        <v>3304990000</v>
      </c>
      <c r="F39" t="s">
        <v>14</v>
      </c>
      <c r="G39" s="3">
        <v>11</v>
      </c>
      <c r="H39" s="3">
        <f t="shared" si="0"/>
        <v>10.5</v>
      </c>
      <c r="J39" s="2">
        <f t="shared" si="1"/>
        <v>0</v>
      </c>
      <c r="K39" s="3">
        <f t="shared" si="2"/>
        <v>0</v>
      </c>
      <c r="L39" s="3">
        <f t="shared" si="3"/>
        <v>0</v>
      </c>
    </row>
    <row r="40" spans="1:12">
      <c r="A40" t="s">
        <v>79</v>
      </c>
      <c r="B40">
        <v>725504</v>
      </c>
      <c r="C40" t="s">
        <v>80</v>
      </c>
      <c r="D40">
        <v>24</v>
      </c>
      <c r="E40">
        <v>3305900000</v>
      </c>
      <c r="F40" t="s">
        <v>14</v>
      </c>
      <c r="G40" s="3">
        <v>11</v>
      </c>
      <c r="H40" s="3">
        <f t="shared" si="0"/>
        <v>10.5</v>
      </c>
      <c r="J40" s="2">
        <f t="shared" si="1"/>
        <v>0</v>
      </c>
      <c r="K40" s="3">
        <f t="shared" si="2"/>
        <v>0</v>
      </c>
      <c r="L40" s="3">
        <f t="shared" si="3"/>
        <v>0</v>
      </c>
    </row>
    <row r="41" spans="1:12">
      <c r="A41" t="s">
        <v>81</v>
      </c>
      <c r="B41">
        <v>725523</v>
      </c>
      <c r="C41" t="s">
        <v>82</v>
      </c>
      <c r="D41">
        <v>50</v>
      </c>
      <c r="E41">
        <v>9404909000</v>
      </c>
      <c r="F41" t="s">
        <v>28</v>
      </c>
      <c r="G41" s="3">
        <v>2.5</v>
      </c>
      <c r="H41" s="3">
        <f t="shared" si="0"/>
        <v>2</v>
      </c>
      <c r="J41" s="2">
        <f t="shared" si="1"/>
        <v>0</v>
      </c>
      <c r="K41" s="3">
        <f t="shared" si="2"/>
        <v>0</v>
      </c>
      <c r="L41" s="3">
        <f t="shared" si="3"/>
        <v>0</v>
      </c>
    </row>
    <row r="42" spans="1:12">
      <c r="A42" t="s">
        <v>83</v>
      </c>
      <c r="B42">
        <v>725559</v>
      </c>
      <c r="C42" t="s">
        <v>84</v>
      </c>
      <c r="D42">
        <v>100</v>
      </c>
      <c r="E42">
        <v>6404191000</v>
      </c>
      <c r="F42" t="s">
        <v>28</v>
      </c>
      <c r="G42" s="3">
        <v>9</v>
      </c>
      <c r="H42" s="3">
        <f t="shared" si="0"/>
        <v>8.5</v>
      </c>
      <c r="J42" s="2">
        <f t="shared" si="1"/>
        <v>0</v>
      </c>
      <c r="K42" s="3">
        <f t="shared" si="2"/>
        <v>0</v>
      </c>
      <c r="L42" s="3">
        <f t="shared" si="3"/>
        <v>0</v>
      </c>
    </row>
    <row r="43" spans="1:12">
      <c r="A43" t="s">
        <v>85</v>
      </c>
      <c r="B43">
        <v>725560</v>
      </c>
      <c r="C43" t="s">
        <v>86</v>
      </c>
      <c r="D43">
        <v>100</v>
      </c>
      <c r="E43">
        <v>6404191000</v>
      </c>
      <c r="F43" t="s">
        <v>28</v>
      </c>
      <c r="G43" s="3">
        <v>8</v>
      </c>
      <c r="H43" s="3">
        <f t="shared" si="0"/>
        <v>7.5</v>
      </c>
      <c r="J43" s="2">
        <f t="shared" si="1"/>
        <v>0</v>
      </c>
      <c r="K43" s="3">
        <f t="shared" si="2"/>
        <v>0</v>
      </c>
      <c r="L43" s="3">
        <f t="shared" si="3"/>
        <v>0</v>
      </c>
    </row>
    <row r="44" spans="1:12">
      <c r="A44" t="s">
        <v>87</v>
      </c>
      <c r="B44">
        <v>725561</v>
      </c>
      <c r="C44" t="s">
        <v>88</v>
      </c>
      <c r="D44">
        <v>100</v>
      </c>
      <c r="E44">
        <v>6404191000</v>
      </c>
      <c r="F44" t="s">
        <v>28</v>
      </c>
      <c r="G44" s="3">
        <v>9</v>
      </c>
      <c r="H44" s="3">
        <f t="shared" si="0"/>
        <v>8.5</v>
      </c>
      <c r="J44" s="2">
        <f t="shared" si="1"/>
        <v>0</v>
      </c>
      <c r="K44" s="3">
        <f t="shared" si="2"/>
        <v>0</v>
      </c>
      <c r="L44" s="3">
        <f t="shared" si="3"/>
        <v>0</v>
      </c>
    </row>
    <row r="45" spans="1:12">
      <c r="A45" t="s">
        <v>89</v>
      </c>
      <c r="B45">
        <v>725562</v>
      </c>
      <c r="C45" t="s">
        <v>90</v>
      </c>
      <c r="D45">
        <v>100</v>
      </c>
      <c r="E45">
        <v>6404191000</v>
      </c>
      <c r="F45" t="s">
        <v>28</v>
      </c>
      <c r="G45" s="3">
        <v>8</v>
      </c>
      <c r="H45" s="3">
        <f t="shared" si="0"/>
        <v>7.5</v>
      </c>
      <c r="J45" s="2">
        <f t="shared" si="1"/>
        <v>0</v>
      </c>
      <c r="K45" s="3">
        <f t="shared" si="2"/>
        <v>0</v>
      </c>
      <c r="L45" s="3">
        <f t="shared" si="3"/>
        <v>0</v>
      </c>
    </row>
    <row r="46" spans="1:12">
      <c r="A46" t="s">
        <v>91</v>
      </c>
      <c r="B46">
        <v>725563</v>
      </c>
      <c r="C46" t="s">
        <v>92</v>
      </c>
      <c r="D46">
        <v>100</v>
      </c>
      <c r="E46">
        <v>6404191000</v>
      </c>
      <c r="F46" t="s">
        <v>28</v>
      </c>
      <c r="G46" s="3">
        <v>9</v>
      </c>
      <c r="H46" s="3">
        <f t="shared" si="0"/>
        <v>8.5</v>
      </c>
      <c r="J46" s="2">
        <f t="shared" si="1"/>
        <v>0</v>
      </c>
      <c r="K46" s="3">
        <f t="shared" si="2"/>
        <v>0</v>
      </c>
      <c r="L46" s="3">
        <f t="shared" si="3"/>
        <v>0</v>
      </c>
    </row>
    <row r="47" spans="1:12">
      <c r="A47" t="s">
        <v>93</v>
      </c>
      <c r="B47">
        <v>725564</v>
      </c>
      <c r="C47" t="s">
        <v>94</v>
      </c>
      <c r="D47">
        <v>100</v>
      </c>
      <c r="E47">
        <v>6404191000</v>
      </c>
      <c r="F47" t="s">
        <v>28</v>
      </c>
      <c r="G47" s="3">
        <v>8</v>
      </c>
      <c r="H47" s="3">
        <f t="shared" si="0"/>
        <v>7.5</v>
      </c>
      <c r="J47" s="2">
        <f t="shared" si="1"/>
        <v>0</v>
      </c>
      <c r="K47" s="3">
        <f t="shared" si="2"/>
        <v>0</v>
      </c>
      <c r="L47" s="3">
        <f t="shared" si="3"/>
        <v>0</v>
      </c>
    </row>
    <row r="48" spans="1:12">
      <c r="A48" t="s">
        <v>95</v>
      </c>
      <c r="B48">
        <v>725565</v>
      </c>
      <c r="C48" t="s">
        <v>96</v>
      </c>
      <c r="D48">
        <v>100</v>
      </c>
      <c r="E48">
        <v>6404191000</v>
      </c>
      <c r="F48" t="s">
        <v>28</v>
      </c>
      <c r="G48" s="3">
        <v>9</v>
      </c>
      <c r="H48" s="3">
        <f t="shared" si="0"/>
        <v>8.5</v>
      </c>
      <c r="J48" s="2">
        <f t="shared" si="1"/>
        <v>0</v>
      </c>
      <c r="K48" s="3">
        <f t="shared" si="2"/>
        <v>0</v>
      </c>
      <c r="L48" s="3">
        <f t="shared" si="3"/>
        <v>0</v>
      </c>
    </row>
    <row r="49" spans="1:12">
      <c r="A49" t="s">
        <v>97</v>
      </c>
      <c r="B49">
        <v>725566</v>
      </c>
      <c r="C49" t="s">
        <v>98</v>
      </c>
      <c r="D49">
        <v>100</v>
      </c>
      <c r="E49">
        <v>6404191000</v>
      </c>
      <c r="F49" t="s">
        <v>28</v>
      </c>
      <c r="G49" s="3">
        <v>8</v>
      </c>
      <c r="H49" s="3">
        <f t="shared" si="0"/>
        <v>7.5</v>
      </c>
      <c r="J49" s="2">
        <f t="shared" si="1"/>
        <v>0</v>
      </c>
      <c r="K49" s="3">
        <f t="shared" si="2"/>
        <v>0</v>
      </c>
      <c r="L49" s="3">
        <f t="shared" si="3"/>
        <v>0</v>
      </c>
    </row>
    <row r="50" spans="1:12">
      <c r="A50" t="s">
        <v>99</v>
      </c>
      <c r="B50">
        <v>725567</v>
      </c>
      <c r="C50" t="s">
        <v>100</v>
      </c>
      <c r="D50">
        <v>100</v>
      </c>
      <c r="E50">
        <v>6404191000</v>
      </c>
      <c r="F50" t="s">
        <v>28</v>
      </c>
      <c r="G50" s="3">
        <v>9</v>
      </c>
      <c r="H50" s="3">
        <f t="shared" si="0"/>
        <v>8.5</v>
      </c>
      <c r="J50" s="2">
        <f t="shared" si="1"/>
        <v>0</v>
      </c>
      <c r="K50" s="3">
        <f t="shared" si="2"/>
        <v>0</v>
      </c>
      <c r="L50" s="3">
        <f t="shared" si="3"/>
        <v>0</v>
      </c>
    </row>
    <row r="51" spans="1:12">
      <c r="A51" t="s">
        <v>101</v>
      </c>
      <c r="B51">
        <v>725568</v>
      </c>
      <c r="C51" t="s">
        <v>102</v>
      </c>
      <c r="D51">
        <v>100</v>
      </c>
      <c r="E51">
        <v>6404191000</v>
      </c>
      <c r="F51" t="s">
        <v>28</v>
      </c>
      <c r="G51" s="3">
        <v>8</v>
      </c>
      <c r="H51" s="3">
        <f t="shared" si="0"/>
        <v>7.5</v>
      </c>
      <c r="J51" s="2">
        <f t="shared" si="1"/>
        <v>0</v>
      </c>
      <c r="K51" s="3">
        <f t="shared" si="2"/>
        <v>0</v>
      </c>
      <c r="L51" s="3">
        <f t="shared" si="3"/>
        <v>0</v>
      </c>
    </row>
    <row r="52" spans="1:12">
      <c r="A52" t="s">
        <v>103</v>
      </c>
      <c r="B52">
        <v>725607</v>
      </c>
      <c r="C52" t="s">
        <v>104</v>
      </c>
      <c r="D52">
        <v>1000</v>
      </c>
      <c r="E52">
        <v>6307909820</v>
      </c>
      <c r="F52" t="s">
        <v>14</v>
      </c>
      <c r="G52" s="3">
        <v>13.7</v>
      </c>
      <c r="H52" s="3">
        <f t="shared" si="0"/>
        <v>13.2</v>
      </c>
      <c r="J52" s="2">
        <f t="shared" si="1"/>
        <v>0</v>
      </c>
      <c r="K52" s="3">
        <f t="shared" si="2"/>
        <v>0</v>
      </c>
      <c r="L52" s="3">
        <f t="shared" si="3"/>
        <v>0</v>
      </c>
    </row>
    <row r="53" spans="1:12">
      <c r="A53" t="s">
        <v>105</v>
      </c>
      <c r="B53">
        <v>725614</v>
      </c>
      <c r="C53" t="s">
        <v>106</v>
      </c>
      <c r="D53">
        <v>500</v>
      </c>
      <c r="E53">
        <v>5601211000</v>
      </c>
      <c r="F53" t="s">
        <v>28</v>
      </c>
      <c r="G53" s="3">
        <v>4.3</v>
      </c>
      <c r="H53" s="3">
        <f t="shared" si="0"/>
        <v>3.8</v>
      </c>
      <c r="J53" s="2">
        <f t="shared" si="1"/>
        <v>0</v>
      </c>
      <c r="K53" s="3">
        <f t="shared" si="2"/>
        <v>0</v>
      </c>
      <c r="L53" s="3">
        <f t="shared" si="3"/>
        <v>0</v>
      </c>
    </row>
    <row r="54" spans="1:12">
      <c r="A54" t="s">
        <v>107</v>
      </c>
      <c r="B54">
        <v>725616</v>
      </c>
      <c r="C54" t="s">
        <v>108</v>
      </c>
      <c r="D54">
        <v>200</v>
      </c>
      <c r="E54">
        <v>4202329090</v>
      </c>
      <c r="F54" t="s">
        <v>28</v>
      </c>
      <c r="G54" s="3">
        <v>12.5</v>
      </c>
      <c r="H54" s="3">
        <f t="shared" si="0"/>
        <v>12</v>
      </c>
      <c r="J54" s="2">
        <f t="shared" si="1"/>
        <v>0</v>
      </c>
      <c r="K54" s="3">
        <f t="shared" si="2"/>
        <v>0</v>
      </c>
      <c r="L54" s="3">
        <f t="shared" si="3"/>
        <v>0</v>
      </c>
    </row>
    <row r="55" spans="1:12">
      <c r="A55" t="s">
        <v>109</v>
      </c>
      <c r="B55">
        <v>725617</v>
      </c>
      <c r="C55" t="s">
        <v>110</v>
      </c>
      <c r="D55">
        <v>250</v>
      </c>
      <c r="E55">
        <v>4602199090</v>
      </c>
      <c r="F55" t="s">
        <v>28</v>
      </c>
      <c r="G55" s="3">
        <v>4.2</v>
      </c>
      <c r="H55" s="3">
        <f t="shared" si="0"/>
        <v>3.7</v>
      </c>
      <c r="J55" s="2">
        <f t="shared" si="1"/>
        <v>0</v>
      </c>
      <c r="K55" s="3">
        <f t="shared" si="2"/>
        <v>0</v>
      </c>
      <c r="L55" s="3">
        <f t="shared" si="3"/>
        <v>0</v>
      </c>
    </row>
    <row r="56" spans="1:12">
      <c r="A56" t="s">
        <v>111</v>
      </c>
      <c r="B56">
        <v>725623</v>
      </c>
      <c r="C56" t="s">
        <v>112</v>
      </c>
      <c r="D56">
        <v>115</v>
      </c>
      <c r="E56">
        <v>3303009000</v>
      </c>
      <c r="F56" t="s">
        <v>28</v>
      </c>
      <c r="G56" s="3">
        <v>2</v>
      </c>
      <c r="H56" s="3">
        <f t="shared" si="0"/>
        <v>1.5</v>
      </c>
      <c r="J56" s="2">
        <f t="shared" si="1"/>
        <v>0</v>
      </c>
      <c r="K56" s="3">
        <f t="shared" si="2"/>
        <v>0</v>
      </c>
      <c r="L56" s="3">
        <f t="shared" si="3"/>
        <v>0</v>
      </c>
    </row>
    <row r="57" spans="1:12">
      <c r="A57" t="s">
        <v>113</v>
      </c>
      <c r="B57">
        <v>725627</v>
      </c>
      <c r="C57" t="s">
        <v>114</v>
      </c>
      <c r="D57">
        <v>500</v>
      </c>
      <c r="E57">
        <v>9615900000</v>
      </c>
      <c r="F57" t="s">
        <v>28</v>
      </c>
      <c r="G57" s="3">
        <v>8.9</v>
      </c>
      <c r="H57" s="3">
        <f t="shared" si="0"/>
        <v>8.4</v>
      </c>
      <c r="J57" s="2">
        <f t="shared" si="1"/>
        <v>0</v>
      </c>
      <c r="K57" s="3">
        <f t="shared" si="2"/>
        <v>0</v>
      </c>
      <c r="L57" s="3">
        <f t="shared" si="3"/>
        <v>0</v>
      </c>
    </row>
    <row r="58" spans="1:12">
      <c r="A58" t="s">
        <v>115</v>
      </c>
      <c r="B58">
        <v>725629</v>
      </c>
      <c r="C58" t="s">
        <v>116</v>
      </c>
      <c r="D58">
        <v>500</v>
      </c>
      <c r="E58">
        <v>9603210000</v>
      </c>
      <c r="F58" t="s">
        <v>28</v>
      </c>
      <c r="G58" s="3">
        <v>12.4</v>
      </c>
      <c r="H58" s="3">
        <f t="shared" si="0"/>
        <v>11.9</v>
      </c>
      <c r="J58" s="2">
        <f t="shared" si="1"/>
        <v>0</v>
      </c>
      <c r="K58" s="3">
        <f t="shared" si="2"/>
        <v>0</v>
      </c>
      <c r="L58" s="3">
        <f t="shared" si="3"/>
        <v>0</v>
      </c>
    </row>
    <row r="59" spans="1:12">
      <c r="A59" t="s">
        <v>117</v>
      </c>
      <c r="B59">
        <v>725630</v>
      </c>
      <c r="C59" t="s">
        <v>118</v>
      </c>
      <c r="D59">
        <v>500</v>
      </c>
      <c r="E59">
        <v>8212101000</v>
      </c>
      <c r="F59" t="s">
        <v>28</v>
      </c>
      <c r="G59" s="3">
        <v>14.3</v>
      </c>
      <c r="H59" s="3">
        <f t="shared" si="0"/>
        <v>13.8</v>
      </c>
      <c r="J59" s="2">
        <f t="shared" si="1"/>
        <v>0</v>
      </c>
      <c r="K59" s="3">
        <f t="shared" si="2"/>
        <v>0</v>
      </c>
      <c r="L59" s="3">
        <f t="shared" si="3"/>
        <v>0</v>
      </c>
    </row>
    <row r="60" spans="1:12">
      <c r="A60" t="s">
        <v>119</v>
      </c>
      <c r="B60">
        <v>725631</v>
      </c>
      <c r="C60" t="s">
        <v>120</v>
      </c>
      <c r="D60">
        <v>500</v>
      </c>
      <c r="E60">
        <v>6506910000</v>
      </c>
      <c r="F60" t="s">
        <v>28</v>
      </c>
      <c r="G60" s="3">
        <v>3.7</v>
      </c>
      <c r="H60" s="3">
        <f t="shared" si="0"/>
        <v>3.2</v>
      </c>
      <c r="J60" s="2">
        <f t="shared" si="1"/>
        <v>0</v>
      </c>
      <c r="K60" s="3">
        <f t="shared" si="2"/>
        <v>0</v>
      </c>
      <c r="L60" s="3">
        <f t="shared" si="3"/>
        <v>0</v>
      </c>
    </row>
    <row r="61" spans="1:12">
      <c r="A61" t="s">
        <v>121</v>
      </c>
      <c r="B61">
        <v>725632</v>
      </c>
      <c r="C61" t="s">
        <v>122</v>
      </c>
      <c r="D61">
        <v>500</v>
      </c>
      <c r="E61">
        <v>9605000000</v>
      </c>
      <c r="F61" t="s">
        <v>28</v>
      </c>
      <c r="G61" s="3">
        <v>8</v>
      </c>
      <c r="H61" s="3">
        <f t="shared" si="0"/>
        <v>7.5</v>
      </c>
      <c r="J61" s="2">
        <f t="shared" si="1"/>
        <v>0</v>
      </c>
      <c r="K61" s="3">
        <f t="shared" si="2"/>
        <v>0</v>
      </c>
      <c r="L61" s="3">
        <f t="shared" si="3"/>
        <v>0</v>
      </c>
    </row>
    <row r="62" spans="1:12">
      <c r="A62" t="s">
        <v>123</v>
      </c>
      <c r="B62">
        <v>725633</v>
      </c>
      <c r="C62" t="s">
        <v>124</v>
      </c>
      <c r="D62">
        <v>50</v>
      </c>
      <c r="E62">
        <v>4421999999</v>
      </c>
      <c r="F62" t="s">
        <v>28</v>
      </c>
      <c r="G62" s="3">
        <v>3.4</v>
      </c>
      <c r="H62" s="3">
        <f t="shared" si="0"/>
        <v>2.9</v>
      </c>
      <c r="J62" s="2">
        <f t="shared" si="1"/>
        <v>0</v>
      </c>
      <c r="K62" s="3">
        <f t="shared" si="2"/>
        <v>0</v>
      </c>
      <c r="L62" s="3">
        <f t="shared" si="3"/>
        <v>0</v>
      </c>
    </row>
    <row r="63" spans="1:12">
      <c r="A63" t="s">
        <v>125</v>
      </c>
      <c r="B63">
        <v>725634</v>
      </c>
      <c r="C63" t="s">
        <v>126</v>
      </c>
      <c r="D63">
        <v>500</v>
      </c>
      <c r="E63">
        <v>3405100000</v>
      </c>
      <c r="F63" t="s">
        <v>28</v>
      </c>
      <c r="G63" s="3">
        <v>4.5</v>
      </c>
      <c r="H63" s="3">
        <f t="shared" si="0"/>
        <v>4</v>
      </c>
      <c r="J63" s="2">
        <f t="shared" si="1"/>
        <v>0</v>
      </c>
      <c r="K63" s="3">
        <f t="shared" si="2"/>
        <v>0</v>
      </c>
      <c r="L63" s="3">
        <f t="shared" si="3"/>
        <v>0</v>
      </c>
    </row>
    <row r="64" spans="1:12">
      <c r="A64" t="s">
        <v>127</v>
      </c>
      <c r="B64">
        <v>725635</v>
      </c>
      <c r="C64" t="s">
        <v>128</v>
      </c>
      <c r="D64">
        <v>100</v>
      </c>
      <c r="E64">
        <v>4819400000</v>
      </c>
      <c r="F64" t="s">
        <v>28</v>
      </c>
      <c r="G64" s="3">
        <v>10.5</v>
      </c>
      <c r="H64" s="3">
        <f t="shared" si="0"/>
        <v>10</v>
      </c>
      <c r="J64" s="2">
        <f t="shared" si="1"/>
        <v>0</v>
      </c>
      <c r="K64" s="3">
        <f t="shared" si="2"/>
        <v>0</v>
      </c>
      <c r="L64" s="3">
        <f t="shared" si="3"/>
        <v>0</v>
      </c>
    </row>
    <row r="65" spans="1:12">
      <c r="A65" t="s">
        <v>129</v>
      </c>
      <c r="B65">
        <v>725636</v>
      </c>
      <c r="C65" t="s">
        <v>130</v>
      </c>
      <c r="D65">
        <v>250</v>
      </c>
      <c r="E65">
        <v>3307300000</v>
      </c>
      <c r="F65" t="s">
        <v>28</v>
      </c>
      <c r="G65" s="3">
        <v>17.3</v>
      </c>
      <c r="H65" s="3">
        <f t="shared" si="0"/>
        <v>16.8</v>
      </c>
      <c r="J65" s="2">
        <f t="shared" si="1"/>
        <v>0</v>
      </c>
      <c r="K65" s="3">
        <f t="shared" si="2"/>
        <v>0</v>
      </c>
      <c r="L65" s="3">
        <f t="shared" si="3"/>
        <v>0</v>
      </c>
    </row>
    <row r="66" spans="1:12">
      <c r="A66" t="s">
        <v>131</v>
      </c>
      <c r="B66">
        <v>725637</v>
      </c>
      <c r="C66" t="s">
        <v>132</v>
      </c>
      <c r="D66">
        <v>500</v>
      </c>
      <c r="E66">
        <v>5601211000</v>
      </c>
      <c r="F66" t="s">
        <v>28</v>
      </c>
      <c r="G66" s="3">
        <v>4.3</v>
      </c>
      <c r="H66" s="3">
        <f t="shared" si="0"/>
        <v>3.8</v>
      </c>
      <c r="J66" s="2">
        <f t="shared" si="1"/>
        <v>0</v>
      </c>
      <c r="K66" s="3">
        <f t="shared" si="2"/>
        <v>0</v>
      </c>
      <c r="L66" s="3">
        <f t="shared" si="3"/>
        <v>0</v>
      </c>
    </row>
    <row r="67" spans="1:12">
      <c r="A67" t="s">
        <v>133</v>
      </c>
      <c r="B67">
        <v>725638</v>
      </c>
      <c r="C67" t="s">
        <v>134</v>
      </c>
      <c r="D67">
        <v>1000</v>
      </c>
      <c r="E67">
        <v>6307909820</v>
      </c>
      <c r="F67" t="s">
        <v>14</v>
      </c>
      <c r="G67" s="3">
        <v>13.7</v>
      </c>
      <c r="H67" s="3">
        <f t="shared" ref="H67:H115" si="4">G67-0.5</f>
        <v>13.2</v>
      </c>
      <c r="J67" s="2">
        <f t="shared" ref="J67:J115" si="5">I67/D67</f>
        <v>0</v>
      </c>
      <c r="K67" s="3">
        <f t="shared" ref="K67:K115" si="6">J67*G67</f>
        <v>0</v>
      </c>
      <c r="L67" s="3">
        <f t="shared" ref="L67:L115" si="7">J67*H67</f>
        <v>0</v>
      </c>
    </row>
    <row r="68" spans="1:12">
      <c r="A68" t="s">
        <v>135</v>
      </c>
      <c r="B68">
        <v>725639</v>
      </c>
      <c r="C68" t="s">
        <v>136</v>
      </c>
      <c r="D68">
        <v>250</v>
      </c>
      <c r="E68">
        <v>3307300000</v>
      </c>
      <c r="F68" t="s">
        <v>28</v>
      </c>
      <c r="G68" s="3">
        <v>17.3</v>
      </c>
      <c r="H68" s="3">
        <f t="shared" si="4"/>
        <v>16.8</v>
      </c>
      <c r="J68" s="2">
        <f t="shared" si="5"/>
        <v>0</v>
      </c>
      <c r="K68" s="3">
        <f t="shared" si="6"/>
        <v>0</v>
      </c>
      <c r="L68" s="3">
        <f t="shared" si="7"/>
        <v>0</v>
      </c>
    </row>
    <row r="69" spans="1:12">
      <c r="A69" t="s">
        <v>137</v>
      </c>
      <c r="B69">
        <v>725640</v>
      </c>
      <c r="C69" t="s">
        <v>138</v>
      </c>
      <c r="D69">
        <v>500</v>
      </c>
      <c r="E69">
        <v>9615900000</v>
      </c>
      <c r="F69" t="s">
        <v>28</v>
      </c>
      <c r="G69" s="3">
        <v>8.9</v>
      </c>
      <c r="H69" s="3">
        <f t="shared" si="4"/>
        <v>8.4</v>
      </c>
      <c r="J69" s="2">
        <f t="shared" si="5"/>
        <v>0</v>
      </c>
      <c r="K69" s="3">
        <f t="shared" si="6"/>
        <v>0</v>
      </c>
      <c r="L69" s="3">
        <f t="shared" si="7"/>
        <v>0</v>
      </c>
    </row>
    <row r="70" spans="1:12">
      <c r="A70" t="s">
        <v>139</v>
      </c>
      <c r="B70">
        <v>725641</v>
      </c>
      <c r="C70" t="s">
        <v>140</v>
      </c>
      <c r="D70">
        <v>500</v>
      </c>
      <c r="E70">
        <v>9603210000</v>
      </c>
      <c r="F70" t="s">
        <v>28</v>
      </c>
      <c r="G70" s="3">
        <v>12.4</v>
      </c>
      <c r="H70" s="3">
        <f t="shared" si="4"/>
        <v>11.9</v>
      </c>
      <c r="J70" s="2">
        <f t="shared" si="5"/>
        <v>0</v>
      </c>
      <c r="K70" s="3">
        <f t="shared" si="6"/>
        <v>0</v>
      </c>
      <c r="L70" s="3">
        <f t="shared" si="7"/>
        <v>0</v>
      </c>
    </row>
    <row r="71" spans="1:12">
      <c r="A71" t="s">
        <v>141</v>
      </c>
      <c r="B71">
        <v>725642</v>
      </c>
      <c r="C71" t="s">
        <v>142</v>
      </c>
      <c r="D71">
        <v>500</v>
      </c>
      <c r="E71">
        <v>8212101000</v>
      </c>
      <c r="F71" t="s">
        <v>28</v>
      </c>
      <c r="G71" s="3">
        <v>14.3</v>
      </c>
      <c r="H71" s="3">
        <f t="shared" si="4"/>
        <v>13.8</v>
      </c>
      <c r="J71" s="2">
        <f t="shared" si="5"/>
        <v>0</v>
      </c>
      <c r="K71" s="3">
        <f t="shared" si="6"/>
        <v>0</v>
      </c>
      <c r="L71" s="3">
        <f t="shared" si="7"/>
        <v>0</v>
      </c>
    </row>
    <row r="72" spans="1:12">
      <c r="A72" t="s">
        <v>143</v>
      </c>
      <c r="B72">
        <v>725643</v>
      </c>
      <c r="C72" t="s">
        <v>144</v>
      </c>
      <c r="D72">
        <v>500</v>
      </c>
      <c r="E72">
        <v>6506910000</v>
      </c>
      <c r="F72" t="s">
        <v>28</v>
      </c>
      <c r="G72" s="3">
        <v>3.7</v>
      </c>
      <c r="H72" s="3">
        <f t="shared" si="4"/>
        <v>3.2</v>
      </c>
      <c r="J72" s="2">
        <f t="shared" si="5"/>
        <v>0</v>
      </c>
      <c r="K72" s="3">
        <f t="shared" si="6"/>
        <v>0</v>
      </c>
      <c r="L72" s="3">
        <f t="shared" si="7"/>
        <v>0</v>
      </c>
    </row>
    <row r="73" spans="1:12">
      <c r="A73" t="s">
        <v>145</v>
      </c>
      <c r="B73">
        <v>725644</v>
      </c>
      <c r="C73" t="s">
        <v>146</v>
      </c>
      <c r="D73">
        <v>500</v>
      </c>
      <c r="E73">
        <v>9605000000</v>
      </c>
      <c r="F73" t="s">
        <v>28</v>
      </c>
      <c r="G73" s="3">
        <v>2.1</v>
      </c>
      <c r="H73" s="3">
        <f t="shared" si="4"/>
        <v>1.6</v>
      </c>
      <c r="J73" s="2">
        <f t="shared" si="5"/>
        <v>0</v>
      </c>
      <c r="K73" s="3">
        <f t="shared" si="6"/>
        <v>0</v>
      </c>
      <c r="L73" s="3">
        <f t="shared" si="7"/>
        <v>0</v>
      </c>
    </row>
    <row r="74" spans="1:12">
      <c r="A74" t="s">
        <v>147</v>
      </c>
      <c r="B74">
        <v>725645</v>
      </c>
      <c r="C74" t="s">
        <v>148</v>
      </c>
      <c r="D74">
        <v>500</v>
      </c>
      <c r="E74">
        <v>3405100000</v>
      </c>
      <c r="F74" t="s">
        <v>28</v>
      </c>
      <c r="G74" s="3">
        <v>5.6</v>
      </c>
      <c r="H74" s="3">
        <f t="shared" si="4"/>
        <v>5.0999999999999996</v>
      </c>
      <c r="J74" s="2">
        <f t="shared" si="5"/>
        <v>0</v>
      </c>
      <c r="K74" s="3">
        <f t="shared" si="6"/>
        <v>0</v>
      </c>
      <c r="L74" s="3">
        <f t="shared" si="7"/>
        <v>0</v>
      </c>
    </row>
    <row r="75" spans="1:12">
      <c r="A75" t="s">
        <v>149</v>
      </c>
      <c r="B75">
        <v>725648</v>
      </c>
      <c r="C75" t="s">
        <v>150</v>
      </c>
      <c r="D75">
        <v>500</v>
      </c>
      <c r="E75">
        <v>5601211000</v>
      </c>
      <c r="F75" t="s">
        <v>28</v>
      </c>
      <c r="G75" s="3">
        <v>4.3</v>
      </c>
      <c r="H75" s="3">
        <f t="shared" si="4"/>
        <v>3.8</v>
      </c>
      <c r="J75" s="2">
        <f t="shared" si="5"/>
        <v>0</v>
      </c>
      <c r="K75" s="3">
        <f t="shared" si="6"/>
        <v>0</v>
      </c>
      <c r="L75" s="3">
        <f t="shared" si="7"/>
        <v>0</v>
      </c>
    </row>
    <row r="76" spans="1:12">
      <c r="A76" t="s">
        <v>151</v>
      </c>
      <c r="B76">
        <v>725649</v>
      </c>
      <c r="C76" t="s">
        <v>152</v>
      </c>
      <c r="D76">
        <v>1000</v>
      </c>
      <c r="E76">
        <v>6307909820</v>
      </c>
      <c r="F76" t="s">
        <v>14</v>
      </c>
      <c r="G76" s="3">
        <v>13.7</v>
      </c>
      <c r="H76" s="3">
        <f t="shared" si="4"/>
        <v>13.2</v>
      </c>
      <c r="J76" s="2">
        <f t="shared" si="5"/>
        <v>0</v>
      </c>
      <c r="K76" s="3">
        <f t="shared" si="6"/>
        <v>0</v>
      </c>
      <c r="L76" s="3">
        <f t="shared" si="7"/>
        <v>0</v>
      </c>
    </row>
    <row r="77" spans="1:12">
      <c r="A77" t="s">
        <v>153</v>
      </c>
      <c r="B77">
        <v>725650</v>
      </c>
      <c r="C77" t="s">
        <v>154</v>
      </c>
      <c r="D77">
        <v>250</v>
      </c>
      <c r="E77">
        <v>3307300000</v>
      </c>
      <c r="F77" t="s">
        <v>28</v>
      </c>
      <c r="G77" s="3">
        <v>17.3</v>
      </c>
      <c r="H77" s="3">
        <f t="shared" si="4"/>
        <v>16.8</v>
      </c>
      <c r="J77" s="2">
        <f t="shared" si="5"/>
        <v>0</v>
      </c>
      <c r="K77" s="3">
        <f t="shared" si="6"/>
        <v>0</v>
      </c>
      <c r="L77" s="3">
        <f t="shared" si="7"/>
        <v>0</v>
      </c>
    </row>
    <row r="78" spans="1:12">
      <c r="A78" t="s">
        <v>155</v>
      </c>
      <c r="B78">
        <v>725651</v>
      </c>
      <c r="C78" t="s">
        <v>156</v>
      </c>
      <c r="D78">
        <v>500</v>
      </c>
      <c r="E78">
        <v>9615900000</v>
      </c>
      <c r="F78" t="s">
        <v>28</v>
      </c>
      <c r="G78" s="3">
        <v>8.9</v>
      </c>
      <c r="H78" s="3">
        <f t="shared" si="4"/>
        <v>8.4</v>
      </c>
      <c r="J78" s="2">
        <f t="shared" si="5"/>
        <v>0</v>
      </c>
      <c r="K78" s="3">
        <f t="shared" si="6"/>
        <v>0</v>
      </c>
      <c r="L78" s="3">
        <f t="shared" si="7"/>
        <v>0</v>
      </c>
    </row>
    <row r="79" spans="1:12">
      <c r="A79" t="s">
        <v>157</v>
      </c>
      <c r="B79">
        <v>725652</v>
      </c>
      <c r="C79" t="s">
        <v>158</v>
      </c>
      <c r="D79">
        <v>500</v>
      </c>
      <c r="E79">
        <v>9603210000</v>
      </c>
      <c r="F79" t="s">
        <v>28</v>
      </c>
      <c r="G79" s="3">
        <v>12.4</v>
      </c>
      <c r="H79" s="3">
        <f t="shared" si="4"/>
        <v>11.9</v>
      </c>
      <c r="J79" s="2">
        <f t="shared" si="5"/>
        <v>0</v>
      </c>
      <c r="K79" s="3">
        <f t="shared" si="6"/>
        <v>0</v>
      </c>
      <c r="L79" s="3">
        <f t="shared" si="7"/>
        <v>0</v>
      </c>
    </row>
    <row r="80" spans="1:12">
      <c r="A80" t="s">
        <v>159</v>
      </c>
      <c r="B80">
        <v>725653</v>
      </c>
      <c r="C80" t="s">
        <v>160</v>
      </c>
      <c r="D80">
        <v>500</v>
      </c>
      <c r="E80">
        <v>8212101000</v>
      </c>
      <c r="F80" t="s">
        <v>28</v>
      </c>
      <c r="G80" s="3">
        <v>14.3</v>
      </c>
      <c r="H80" s="3">
        <f t="shared" si="4"/>
        <v>13.8</v>
      </c>
      <c r="J80" s="2">
        <f t="shared" si="5"/>
        <v>0</v>
      </c>
      <c r="K80" s="3">
        <f t="shared" si="6"/>
        <v>0</v>
      </c>
      <c r="L80" s="3">
        <f t="shared" si="7"/>
        <v>0</v>
      </c>
    </row>
    <row r="81" spans="1:12">
      <c r="A81" t="s">
        <v>161</v>
      </c>
      <c r="B81">
        <v>725654</v>
      </c>
      <c r="C81" t="s">
        <v>162</v>
      </c>
      <c r="D81">
        <v>500</v>
      </c>
      <c r="E81">
        <v>6506910000</v>
      </c>
      <c r="F81" t="s">
        <v>28</v>
      </c>
      <c r="G81" s="3">
        <v>3.7</v>
      </c>
      <c r="H81" s="3">
        <f t="shared" si="4"/>
        <v>3.2</v>
      </c>
      <c r="J81" s="2">
        <f t="shared" si="5"/>
        <v>0</v>
      </c>
      <c r="K81" s="3">
        <f t="shared" si="6"/>
        <v>0</v>
      </c>
      <c r="L81" s="3">
        <f t="shared" si="7"/>
        <v>0</v>
      </c>
    </row>
    <row r="82" spans="1:12">
      <c r="A82" t="s">
        <v>163</v>
      </c>
      <c r="B82">
        <v>725655</v>
      </c>
      <c r="C82" t="s">
        <v>164</v>
      </c>
      <c r="D82">
        <v>500</v>
      </c>
      <c r="E82">
        <v>9605000000</v>
      </c>
      <c r="F82" t="s">
        <v>28</v>
      </c>
      <c r="G82" s="3">
        <v>2.1</v>
      </c>
      <c r="H82" s="3">
        <f t="shared" si="4"/>
        <v>1.6</v>
      </c>
      <c r="J82" s="2">
        <f t="shared" si="5"/>
        <v>0</v>
      </c>
      <c r="K82" s="3">
        <f t="shared" si="6"/>
        <v>0</v>
      </c>
      <c r="L82" s="3">
        <f t="shared" si="7"/>
        <v>0</v>
      </c>
    </row>
    <row r="83" spans="1:12">
      <c r="A83" t="s">
        <v>165</v>
      </c>
      <c r="B83">
        <v>725656</v>
      </c>
      <c r="C83" t="s">
        <v>166</v>
      </c>
      <c r="D83">
        <v>500</v>
      </c>
      <c r="E83">
        <v>3405100000</v>
      </c>
      <c r="F83" t="s">
        <v>28</v>
      </c>
      <c r="G83" s="3">
        <v>5.6</v>
      </c>
      <c r="H83" s="3">
        <f t="shared" si="4"/>
        <v>5.0999999999999996</v>
      </c>
      <c r="J83" s="2">
        <f t="shared" si="5"/>
        <v>0</v>
      </c>
      <c r="K83" s="3">
        <f t="shared" si="6"/>
        <v>0</v>
      </c>
      <c r="L83" s="3">
        <f t="shared" si="7"/>
        <v>0</v>
      </c>
    </row>
    <row r="84" spans="1:12">
      <c r="A84" t="s">
        <v>167</v>
      </c>
      <c r="B84">
        <v>725659</v>
      </c>
      <c r="C84" t="s">
        <v>168</v>
      </c>
      <c r="D84">
        <v>115</v>
      </c>
      <c r="E84">
        <v>3303009000</v>
      </c>
      <c r="F84" t="s">
        <v>28</v>
      </c>
      <c r="G84" s="3">
        <v>2</v>
      </c>
      <c r="H84" s="3">
        <f t="shared" si="4"/>
        <v>1.5</v>
      </c>
      <c r="J84" s="2">
        <f t="shared" si="5"/>
        <v>0</v>
      </c>
      <c r="K84" s="3">
        <f t="shared" si="6"/>
        <v>0</v>
      </c>
      <c r="L84" s="3">
        <f t="shared" si="7"/>
        <v>0</v>
      </c>
    </row>
    <row r="85" spans="1:12">
      <c r="A85" t="s">
        <v>169</v>
      </c>
      <c r="B85">
        <v>725660</v>
      </c>
      <c r="C85" t="s">
        <v>170</v>
      </c>
      <c r="D85">
        <v>500</v>
      </c>
      <c r="E85">
        <v>5601211000</v>
      </c>
      <c r="F85" t="s">
        <v>28</v>
      </c>
      <c r="G85" s="3">
        <v>4.3</v>
      </c>
      <c r="H85" s="3">
        <f t="shared" si="4"/>
        <v>3.8</v>
      </c>
      <c r="J85" s="2">
        <f t="shared" si="5"/>
        <v>0</v>
      </c>
      <c r="K85" s="3">
        <f t="shared" si="6"/>
        <v>0</v>
      </c>
      <c r="L85" s="3">
        <f t="shared" si="7"/>
        <v>0</v>
      </c>
    </row>
    <row r="86" spans="1:12">
      <c r="A86" t="s">
        <v>171</v>
      </c>
      <c r="B86">
        <v>725661</v>
      </c>
      <c r="C86" t="s">
        <v>172</v>
      </c>
      <c r="D86">
        <v>1000</v>
      </c>
      <c r="E86">
        <v>6307909820</v>
      </c>
      <c r="F86" t="s">
        <v>14</v>
      </c>
      <c r="G86" s="3">
        <v>13.7</v>
      </c>
      <c r="H86" s="3">
        <f t="shared" si="4"/>
        <v>13.2</v>
      </c>
      <c r="J86" s="2">
        <f t="shared" si="5"/>
        <v>0</v>
      </c>
      <c r="K86" s="3">
        <f t="shared" si="6"/>
        <v>0</v>
      </c>
      <c r="L86" s="3">
        <f t="shared" si="7"/>
        <v>0</v>
      </c>
    </row>
    <row r="87" spans="1:12">
      <c r="A87" t="s">
        <v>173</v>
      </c>
      <c r="B87">
        <v>725662</v>
      </c>
      <c r="C87" t="s">
        <v>174</v>
      </c>
      <c r="D87">
        <v>500</v>
      </c>
      <c r="E87">
        <v>9615900000</v>
      </c>
      <c r="F87" t="s">
        <v>28</v>
      </c>
      <c r="G87" s="3">
        <v>8.9</v>
      </c>
      <c r="H87" s="3">
        <f t="shared" si="4"/>
        <v>8.4</v>
      </c>
      <c r="J87" s="2">
        <f t="shared" si="5"/>
        <v>0</v>
      </c>
      <c r="K87" s="3">
        <f t="shared" si="6"/>
        <v>0</v>
      </c>
      <c r="L87" s="3">
        <f t="shared" si="7"/>
        <v>0</v>
      </c>
    </row>
    <row r="88" spans="1:12">
      <c r="A88" t="s">
        <v>175</v>
      </c>
      <c r="B88">
        <v>725663</v>
      </c>
      <c r="C88" t="s">
        <v>176</v>
      </c>
      <c r="D88">
        <v>500</v>
      </c>
      <c r="E88">
        <v>9603210000</v>
      </c>
      <c r="F88" t="s">
        <v>28</v>
      </c>
      <c r="G88" s="3">
        <v>12.4</v>
      </c>
      <c r="H88" s="3">
        <f t="shared" si="4"/>
        <v>11.9</v>
      </c>
      <c r="J88" s="2">
        <f t="shared" si="5"/>
        <v>0</v>
      </c>
      <c r="K88" s="3">
        <f t="shared" si="6"/>
        <v>0</v>
      </c>
      <c r="L88" s="3">
        <f t="shared" si="7"/>
        <v>0</v>
      </c>
    </row>
    <row r="89" spans="1:12">
      <c r="A89" t="s">
        <v>177</v>
      </c>
      <c r="B89">
        <v>725664</v>
      </c>
      <c r="C89" t="s">
        <v>178</v>
      </c>
      <c r="D89">
        <v>500</v>
      </c>
      <c r="E89">
        <v>8212101000</v>
      </c>
      <c r="F89" t="s">
        <v>28</v>
      </c>
      <c r="G89" s="3">
        <v>14.3</v>
      </c>
      <c r="H89" s="3">
        <f t="shared" si="4"/>
        <v>13.8</v>
      </c>
      <c r="J89" s="2">
        <f t="shared" si="5"/>
        <v>0</v>
      </c>
      <c r="K89" s="3">
        <f t="shared" si="6"/>
        <v>0</v>
      </c>
      <c r="L89" s="3">
        <f t="shared" si="7"/>
        <v>0</v>
      </c>
    </row>
    <row r="90" spans="1:12">
      <c r="A90" t="s">
        <v>179</v>
      </c>
      <c r="B90">
        <v>725665</v>
      </c>
      <c r="C90" t="s">
        <v>180</v>
      </c>
      <c r="D90">
        <v>500</v>
      </c>
      <c r="E90">
        <v>6506910000</v>
      </c>
      <c r="F90" t="s">
        <v>28</v>
      </c>
      <c r="G90" s="3">
        <v>3.7</v>
      </c>
      <c r="H90" s="3">
        <f t="shared" si="4"/>
        <v>3.2</v>
      </c>
      <c r="J90" s="2">
        <f t="shared" si="5"/>
        <v>0</v>
      </c>
      <c r="K90" s="3">
        <f t="shared" si="6"/>
        <v>0</v>
      </c>
      <c r="L90" s="3">
        <f t="shared" si="7"/>
        <v>0</v>
      </c>
    </row>
    <row r="91" spans="1:12">
      <c r="A91" t="s">
        <v>181</v>
      </c>
      <c r="B91">
        <v>725666</v>
      </c>
      <c r="C91" t="s">
        <v>182</v>
      </c>
      <c r="D91">
        <v>500</v>
      </c>
      <c r="E91">
        <v>9605000000</v>
      </c>
      <c r="F91" t="s">
        <v>28</v>
      </c>
      <c r="G91" s="3">
        <v>2.1</v>
      </c>
      <c r="H91" s="3">
        <f t="shared" si="4"/>
        <v>1.6</v>
      </c>
      <c r="J91" s="2">
        <f t="shared" si="5"/>
        <v>0</v>
      </c>
      <c r="K91" s="3">
        <f t="shared" si="6"/>
        <v>0</v>
      </c>
      <c r="L91" s="3">
        <f t="shared" si="7"/>
        <v>0</v>
      </c>
    </row>
    <row r="92" spans="1:12">
      <c r="A92" t="s">
        <v>183</v>
      </c>
      <c r="B92">
        <v>725667</v>
      </c>
      <c r="C92" t="s">
        <v>184</v>
      </c>
      <c r="D92">
        <v>500</v>
      </c>
      <c r="E92">
        <v>3405100000</v>
      </c>
      <c r="F92" t="s">
        <v>28</v>
      </c>
      <c r="G92" s="3">
        <v>5.6</v>
      </c>
      <c r="H92" s="3">
        <f t="shared" si="4"/>
        <v>5.0999999999999996</v>
      </c>
      <c r="J92" s="2">
        <f t="shared" si="5"/>
        <v>0</v>
      </c>
      <c r="K92" s="3">
        <f t="shared" si="6"/>
        <v>0</v>
      </c>
      <c r="L92" s="3">
        <f t="shared" si="7"/>
        <v>0</v>
      </c>
    </row>
    <row r="93" spans="1:12">
      <c r="A93" t="s">
        <v>185</v>
      </c>
      <c r="B93">
        <v>725689</v>
      </c>
      <c r="C93" t="s">
        <v>186</v>
      </c>
      <c r="D93">
        <v>500</v>
      </c>
      <c r="E93">
        <v>5601211000</v>
      </c>
      <c r="F93" t="s">
        <v>28</v>
      </c>
      <c r="G93" s="3">
        <v>4.3</v>
      </c>
      <c r="H93" s="3">
        <f t="shared" si="4"/>
        <v>3.8</v>
      </c>
      <c r="J93" s="2">
        <f t="shared" si="5"/>
        <v>0</v>
      </c>
      <c r="K93" s="3">
        <f t="shared" si="6"/>
        <v>0</v>
      </c>
      <c r="L93" s="3">
        <f t="shared" si="7"/>
        <v>0</v>
      </c>
    </row>
    <row r="94" spans="1:12">
      <c r="A94" t="s">
        <v>187</v>
      </c>
      <c r="B94">
        <v>725695</v>
      </c>
      <c r="C94" t="s">
        <v>188</v>
      </c>
      <c r="D94">
        <v>115</v>
      </c>
      <c r="E94">
        <v>3303009000</v>
      </c>
      <c r="F94" t="s">
        <v>28</v>
      </c>
      <c r="G94" s="3">
        <v>2</v>
      </c>
      <c r="H94" s="3">
        <f t="shared" si="4"/>
        <v>1.5</v>
      </c>
      <c r="J94" s="2">
        <f t="shared" si="5"/>
        <v>0</v>
      </c>
      <c r="K94" s="3">
        <f t="shared" si="6"/>
        <v>0</v>
      </c>
      <c r="L94" s="3">
        <f t="shared" si="7"/>
        <v>0</v>
      </c>
    </row>
    <row r="95" spans="1:12">
      <c r="A95" t="s">
        <v>189</v>
      </c>
      <c r="B95">
        <v>725697</v>
      </c>
      <c r="C95" t="s">
        <v>190</v>
      </c>
      <c r="D95">
        <v>500</v>
      </c>
      <c r="E95">
        <v>9615900000</v>
      </c>
      <c r="F95" t="s">
        <v>28</v>
      </c>
      <c r="G95" s="3">
        <v>8.9</v>
      </c>
      <c r="H95" s="3">
        <f t="shared" si="4"/>
        <v>8.4</v>
      </c>
      <c r="J95" s="2">
        <f t="shared" si="5"/>
        <v>0</v>
      </c>
      <c r="K95" s="3">
        <f t="shared" si="6"/>
        <v>0</v>
      </c>
      <c r="L95" s="3">
        <f t="shared" si="7"/>
        <v>0</v>
      </c>
    </row>
    <row r="96" spans="1:12">
      <c r="A96" t="s">
        <v>191</v>
      </c>
      <c r="B96">
        <v>725698</v>
      </c>
      <c r="C96" t="s">
        <v>192</v>
      </c>
      <c r="D96">
        <v>500</v>
      </c>
      <c r="E96">
        <v>9603210000</v>
      </c>
      <c r="F96" t="s">
        <v>28</v>
      </c>
      <c r="G96" s="3">
        <v>12.4</v>
      </c>
      <c r="H96" s="3">
        <f t="shared" si="4"/>
        <v>11.9</v>
      </c>
      <c r="J96" s="2">
        <f t="shared" si="5"/>
        <v>0</v>
      </c>
      <c r="K96" s="3">
        <f t="shared" si="6"/>
        <v>0</v>
      </c>
      <c r="L96" s="3">
        <f t="shared" si="7"/>
        <v>0</v>
      </c>
    </row>
    <row r="97" spans="1:12">
      <c r="A97" t="s">
        <v>193</v>
      </c>
      <c r="B97">
        <v>725700</v>
      </c>
      <c r="C97" t="s">
        <v>194</v>
      </c>
      <c r="D97">
        <v>500</v>
      </c>
      <c r="E97">
        <v>8212101000</v>
      </c>
      <c r="F97" t="s">
        <v>28</v>
      </c>
      <c r="G97" s="3">
        <v>14.3</v>
      </c>
      <c r="H97" s="3">
        <f t="shared" si="4"/>
        <v>13.8</v>
      </c>
      <c r="J97" s="2">
        <f t="shared" si="5"/>
        <v>0</v>
      </c>
      <c r="K97" s="3">
        <f t="shared" si="6"/>
        <v>0</v>
      </c>
      <c r="L97" s="3">
        <f t="shared" si="7"/>
        <v>0</v>
      </c>
    </row>
    <row r="98" spans="1:12">
      <c r="A98" t="s">
        <v>195</v>
      </c>
      <c r="B98">
        <v>725701</v>
      </c>
      <c r="C98" t="s">
        <v>196</v>
      </c>
      <c r="D98">
        <v>500</v>
      </c>
      <c r="E98">
        <v>6506910000</v>
      </c>
      <c r="F98" t="s">
        <v>28</v>
      </c>
      <c r="G98" s="3">
        <v>3.7</v>
      </c>
      <c r="H98" s="3">
        <f t="shared" si="4"/>
        <v>3.2</v>
      </c>
      <c r="J98" s="2">
        <f t="shared" si="5"/>
        <v>0</v>
      </c>
      <c r="K98" s="3">
        <f t="shared" si="6"/>
        <v>0</v>
      </c>
      <c r="L98" s="3">
        <f t="shared" si="7"/>
        <v>0</v>
      </c>
    </row>
    <row r="99" spans="1:12">
      <c r="A99" t="s">
        <v>197</v>
      </c>
      <c r="B99">
        <v>725703</v>
      </c>
      <c r="C99" t="s">
        <v>198</v>
      </c>
      <c r="D99">
        <v>500</v>
      </c>
      <c r="E99">
        <v>9605000000</v>
      </c>
      <c r="F99" t="s">
        <v>28</v>
      </c>
      <c r="G99" s="3">
        <v>2.1</v>
      </c>
      <c r="H99" s="3">
        <f t="shared" si="4"/>
        <v>1.6</v>
      </c>
      <c r="J99" s="2">
        <f t="shared" si="5"/>
        <v>0</v>
      </c>
      <c r="K99" s="3">
        <f t="shared" si="6"/>
        <v>0</v>
      </c>
      <c r="L99" s="3">
        <f t="shared" si="7"/>
        <v>0</v>
      </c>
    </row>
    <row r="100" spans="1:12">
      <c r="A100" t="s">
        <v>199</v>
      </c>
      <c r="B100">
        <v>725704</v>
      </c>
      <c r="C100" t="s">
        <v>200</v>
      </c>
      <c r="D100">
        <v>500</v>
      </c>
      <c r="E100">
        <v>3926909790</v>
      </c>
      <c r="F100" t="s">
        <v>28</v>
      </c>
      <c r="G100" s="3">
        <v>5.5</v>
      </c>
      <c r="H100" s="3">
        <f t="shared" si="4"/>
        <v>5</v>
      </c>
      <c r="J100" s="2">
        <f t="shared" si="5"/>
        <v>0</v>
      </c>
      <c r="K100" s="3">
        <f t="shared" si="6"/>
        <v>0</v>
      </c>
      <c r="L100" s="3">
        <f t="shared" si="7"/>
        <v>0</v>
      </c>
    </row>
    <row r="101" spans="1:12">
      <c r="A101" t="s">
        <v>201</v>
      </c>
      <c r="B101">
        <v>725705</v>
      </c>
      <c r="C101" t="s">
        <v>202</v>
      </c>
      <c r="D101">
        <v>500</v>
      </c>
      <c r="E101">
        <v>3405100000</v>
      </c>
      <c r="F101" t="s">
        <v>28</v>
      </c>
      <c r="G101" s="3">
        <v>5.6</v>
      </c>
      <c r="H101" s="3">
        <f t="shared" si="4"/>
        <v>5.0999999999999996</v>
      </c>
      <c r="J101" s="2">
        <f t="shared" si="5"/>
        <v>0</v>
      </c>
      <c r="K101" s="3">
        <f t="shared" si="6"/>
        <v>0</v>
      </c>
      <c r="L101" s="3">
        <f t="shared" si="7"/>
        <v>0</v>
      </c>
    </row>
    <row r="102" spans="1:12">
      <c r="A102" t="s">
        <v>203</v>
      </c>
      <c r="B102">
        <v>725706</v>
      </c>
      <c r="C102" t="s">
        <v>204</v>
      </c>
      <c r="D102">
        <v>100</v>
      </c>
      <c r="E102">
        <v>4819400000</v>
      </c>
      <c r="F102" t="s">
        <v>28</v>
      </c>
      <c r="G102" s="3">
        <v>10.5</v>
      </c>
      <c r="H102" s="3">
        <f t="shared" si="4"/>
        <v>10</v>
      </c>
      <c r="J102" s="2">
        <f t="shared" si="5"/>
        <v>0</v>
      </c>
      <c r="K102" s="3">
        <f t="shared" si="6"/>
        <v>0</v>
      </c>
      <c r="L102" s="3">
        <f t="shared" si="7"/>
        <v>0</v>
      </c>
    </row>
    <row r="103" spans="1:12">
      <c r="A103" t="s">
        <v>205</v>
      </c>
      <c r="B103">
        <v>725707</v>
      </c>
      <c r="C103" t="s">
        <v>206</v>
      </c>
      <c r="D103">
        <v>250</v>
      </c>
      <c r="E103">
        <v>3307300000</v>
      </c>
      <c r="F103" t="s">
        <v>28</v>
      </c>
      <c r="G103" s="3">
        <v>17.3</v>
      </c>
      <c r="H103" s="3">
        <f t="shared" si="4"/>
        <v>16.8</v>
      </c>
      <c r="J103" s="2">
        <f t="shared" si="5"/>
        <v>0</v>
      </c>
      <c r="K103" s="3">
        <f t="shared" si="6"/>
        <v>0</v>
      </c>
      <c r="L103" s="3">
        <f t="shared" si="7"/>
        <v>0</v>
      </c>
    </row>
    <row r="104" spans="1:12">
      <c r="A104" t="s">
        <v>207</v>
      </c>
      <c r="B104">
        <v>725717</v>
      </c>
      <c r="C104" t="s">
        <v>208</v>
      </c>
      <c r="D104">
        <v>100</v>
      </c>
      <c r="E104">
        <v>4421999999</v>
      </c>
      <c r="F104" t="s">
        <v>28</v>
      </c>
      <c r="G104" s="3">
        <v>13</v>
      </c>
      <c r="H104" s="3">
        <f t="shared" si="4"/>
        <v>12.5</v>
      </c>
      <c r="J104" s="2">
        <f t="shared" si="5"/>
        <v>0</v>
      </c>
      <c r="K104" s="3">
        <f t="shared" si="6"/>
        <v>0</v>
      </c>
      <c r="L104" s="3">
        <f t="shared" si="7"/>
        <v>0</v>
      </c>
    </row>
    <row r="105" spans="1:12">
      <c r="A105" t="s">
        <v>209</v>
      </c>
      <c r="B105">
        <v>725718</v>
      </c>
      <c r="C105" t="s">
        <v>210</v>
      </c>
      <c r="D105">
        <v>100</v>
      </c>
      <c r="E105">
        <v>4421999999</v>
      </c>
      <c r="F105" t="s">
        <v>28</v>
      </c>
      <c r="G105" s="3">
        <v>15</v>
      </c>
      <c r="H105" s="3">
        <f t="shared" si="4"/>
        <v>14.5</v>
      </c>
      <c r="J105" s="2">
        <f t="shared" si="5"/>
        <v>0</v>
      </c>
      <c r="K105" s="3">
        <f t="shared" si="6"/>
        <v>0</v>
      </c>
      <c r="L105" s="3">
        <f t="shared" si="7"/>
        <v>0</v>
      </c>
    </row>
    <row r="106" spans="1:12">
      <c r="A106" t="s">
        <v>211</v>
      </c>
      <c r="B106">
        <v>726878</v>
      </c>
      <c r="C106" t="s">
        <v>212</v>
      </c>
      <c r="D106">
        <v>1000</v>
      </c>
      <c r="E106">
        <v>9609101000</v>
      </c>
      <c r="F106" t="s">
        <v>28</v>
      </c>
      <c r="G106" s="3">
        <v>6.5</v>
      </c>
      <c r="H106" s="3">
        <f t="shared" si="4"/>
        <v>6</v>
      </c>
      <c r="J106" s="2">
        <f t="shared" si="5"/>
        <v>0</v>
      </c>
      <c r="K106" s="3">
        <f t="shared" si="6"/>
        <v>0</v>
      </c>
      <c r="L106" s="3">
        <f t="shared" si="7"/>
        <v>0</v>
      </c>
    </row>
    <row r="107" spans="1:12">
      <c r="A107" t="s">
        <v>213</v>
      </c>
      <c r="B107">
        <v>726879</v>
      </c>
      <c r="C107" t="s">
        <v>214</v>
      </c>
      <c r="D107">
        <v>1000</v>
      </c>
      <c r="E107">
        <v>9609101000</v>
      </c>
      <c r="F107" t="s">
        <v>28</v>
      </c>
      <c r="G107" s="3">
        <v>6.5</v>
      </c>
      <c r="H107" s="3">
        <f t="shared" si="4"/>
        <v>6</v>
      </c>
      <c r="J107" s="2">
        <f t="shared" si="5"/>
        <v>0</v>
      </c>
      <c r="K107" s="3">
        <f t="shared" si="6"/>
        <v>0</v>
      </c>
      <c r="L107" s="3">
        <f t="shared" si="7"/>
        <v>0</v>
      </c>
    </row>
    <row r="108" spans="1:12">
      <c r="A108" t="s">
        <v>215</v>
      </c>
      <c r="B108">
        <v>726880</v>
      </c>
      <c r="C108" t="s">
        <v>216</v>
      </c>
      <c r="D108">
        <v>1000</v>
      </c>
      <c r="E108">
        <v>9609101000</v>
      </c>
      <c r="F108" t="s">
        <v>28</v>
      </c>
      <c r="G108" s="3">
        <v>6.5</v>
      </c>
      <c r="H108" s="3">
        <f t="shared" si="4"/>
        <v>6</v>
      </c>
      <c r="J108" s="2">
        <f t="shared" si="5"/>
        <v>0</v>
      </c>
      <c r="K108" s="3">
        <f t="shared" si="6"/>
        <v>0</v>
      </c>
      <c r="L108" s="3">
        <f t="shared" si="7"/>
        <v>0</v>
      </c>
    </row>
    <row r="109" spans="1:12">
      <c r="A109" t="s">
        <v>12</v>
      </c>
      <c r="B109">
        <v>726881</v>
      </c>
      <c r="C109" t="s">
        <v>217</v>
      </c>
      <c r="D109">
        <v>1000</v>
      </c>
      <c r="E109">
        <v>9609101000</v>
      </c>
      <c r="F109" t="s">
        <v>28</v>
      </c>
      <c r="G109" s="3">
        <v>6.5</v>
      </c>
      <c r="H109" s="3">
        <f t="shared" si="4"/>
        <v>6</v>
      </c>
      <c r="J109" s="2">
        <f t="shared" si="5"/>
        <v>0</v>
      </c>
      <c r="K109" s="3">
        <f t="shared" si="6"/>
        <v>0</v>
      </c>
      <c r="L109" s="3">
        <f t="shared" si="7"/>
        <v>0</v>
      </c>
    </row>
    <row r="110" spans="1:12">
      <c r="A110" t="s">
        <v>218</v>
      </c>
      <c r="B110">
        <v>726883</v>
      </c>
      <c r="C110" t="s">
        <v>219</v>
      </c>
      <c r="D110">
        <v>1000</v>
      </c>
      <c r="E110">
        <v>9609101000</v>
      </c>
      <c r="F110" t="s">
        <v>28</v>
      </c>
      <c r="G110" s="3">
        <v>6.5</v>
      </c>
      <c r="H110" s="3">
        <f t="shared" si="4"/>
        <v>6</v>
      </c>
      <c r="J110" s="2">
        <f t="shared" si="5"/>
        <v>0</v>
      </c>
      <c r="K110" s="3">
        <f t="shared" si="6"/>
        <v>0</v>
      </c>
      <c r="L110" s="3">
        <f t="shared" si="7"/>
        <v>0</v>
      </c>
    </row>
    <row r="111" spans="1:12">
      <c r="A111" t="s">
        <v>220</v>
      </c>
      <c r="B111">
        <v>726888</v>
      </c>
      <c r="C111" t="s">
        <v>221</v>
      </c>
      <c r="D111">
        <v>1000</v>
      </c>
      <c r="E111">
        <v>9608101000</v>
      </c>
      <c r="F111" t="s">
        <v>28</v>
      </c>
      <c r="G111" s="3">
        <v>7</v>
      </c>
      <c r="H111" s="3">
        <f t="shared" si="4"/>
        <v>6.5</v>
      </c>
      <c r="J111" s="2">
        <f t="shared" si="5"/>
        <v>0</v>
      </c>
      <c r="K111" s="3">
        <f t="shared" si="6"/>
        <v>0</v>
      </c>
      <c r="L111" s="3">
        <f t="shared" si="7"/>
        <v>0</v>
      </c>
    </row>
    <row r="112" spans="1:12">
      <c r="A112" t="s">
        <v>222</v>
      </c>
      <c r="B112">
        <v>726889</v>
      </c>
      <c r="C112" t="s">
        <v>223</v>
      </c>
      <c r="D112">
        <v>1000</v>
      </c>
      <c r="E112">
        <v>9608101000</v>
      </c>
      <c r="F112" t="s">
        <v>28</v>
      </c>
      <c r="G112" s="3">
        <v>7</v>
      </c>
      <c r="H112" s="3">
        <f t="shared" si="4"/>
        <v>6.5</v>
      </c>
      <c r="J112" s="2">
        <f t="shared" si="5"/>
        <v>0</v>
      </c>
      <c r="K112" s="3">
        <f t="shared" si="6"/>
        <v>0</v>
      </c>
      <c r="L112" s="3">
        <f t="shared" si="7"/>
        <v>0</v>
      </c>
    </row>
    <row r="113" spans="1:12">
      <c r="A113" t="s">
        <v>224</v>
      </c>
      <c r="B113">
        <v>726890</v>
      </c>
      <c r="C113" t="s">
        <v>225</v>
      </c>
      <c r="D113">
        <v>1000</v>
      </c>
      <c r="E113">
        <v>9608101000</v>
      </c>
      <c r="F113" t="s">
        <v>28</v>
      </c>
      <c r="G113" s="3">
        <v>7</v>
      </c>
      <c r="H113" s="3">
        <f t="shared" si="4"/>
        <v>6.5</v>
      </c>
      <c r="J113" s="2">
        <f t="shared" si="5"/>
        <v>0</v>
      </c>
      <c r="K113" s="3">
        <f t="shared" si="6"/>
        <v>0</v>
      </c>
      <c r="L113" s="3">
        <f t="shared" si="7"/>
        <v>0</v>
      </c>
    </row>
    <row r="114" spans="1:12">
      <c r="A114" t="s">
        <v>226</v>
      </c>
      <c r="B114">
        <v>726891</v>
      </c>
      <c r="C114" t="s">
        <v>227</v>
      </c>
      <c r="D114">
        <v>1000</v>
      </c>
      <c r="E114">
        <v>9608101000</v>
      </c>
      <c r="F114" t="s">
        <v>28</v>
      </c>
      <c r="G114" s="3">
        <v>7</v>
      </c>
      <c r="H114" s="3">
        <f t="shared" si="4"/>
        <v>6.5</v>
      </c>
      <c r="J114" s="2">
        <f t="shared" si="5"/>
        <v>0</v>
      </c>
      <c r="K114" s="3">
        <f t="shared" si="6"/>
        <v>0</v>
      </c>
      <c r="L114" s="3">
        <f t="shared" si="7"/>
        <v>0</v>
      </c>
    </row>
    <row r="115" spans="1:12">
      <c r="A115" t="s">
        <v>228</v>
      </c>
      <c r="B115">
        <v>726893</v>
      </c>
      <c r="C115" t="s">
        <v>229</v>
      </c>
      <c r="D115">
        <v>1000</v>
      </c>
      <c r="E115">
        <v>9608101000</v>
      </c>
      <c r="F115" t="s">
        <v>28</v>
      </c>
      <c r="G115" s="3">
        <v>7</v>
      </c>
      <c r="H115" s="3">
        <f t="shared" si="4"/>
        <v>6.5</v>
      </c>
      <c r="J115" s="2">
        <f t="shared" si="5"/>
        <v>0</v>
      </c>
      <c r="K115" s="3">
        <f t="shared" si="6"/>
        <v>0</v>
      </c>
      <c r="L115" s="3">
        <f t="shared" si="7"/>
        <v>0</v>
      </c>
    </row>
    <row r="116" spans="1:12">
      <c r="G116" s="3"/>
      <c r="H116" s="3"/>
      <c r="J116" s="2"/>
      <c r="K116" s="3"/>
      <c r="L116" s="3"/>
    </row>
    <row r="117" spans="1:12">
      <c r="G117" s="3"/>
      <c r="H117" s="3"/>
      <c r="J117" s="2"/>
      <c r="K117" s="3"/>
      <c r="L117" s="3"/>
    </row>
    <row r="119" spans="1:12" ht="45">
      <c r="I119" s="4" t="s">
        <v>230</v>
      </c>
      <c r="J119" s="6" t="s">
        <v>231</v>
      </c>
      <c r="K119" s="1" t="s">
        <v>232</v>
      </c>
    </row>
    <row r="120" spans="1:12">
      <c r="H120" t="s">
        <v>233</v>
      </c>
      <c r="I120" s="2">
        <v>0</v>
      </c>
      <c r="J120" s="3">
        <v>23</v>
      </c>
      <c r="K120" s="3">
        <f>I120*J120</f>
        <v>0</v>
      </c>
    </row>
    <row r="121" spans="1:12">
      <c r="C121" s="7" t="s">
        <v>234</v>
      </c>
      <c r="D121" s="7"/>
      <c r="E121" s="5"/>
    </row>
    <row r="122" spans="1:12">
      <c r="C122" s="7" t="s">
        <v>235</v>
      </c>
      <c r="D122" s="7"/>
      <c r="E122" t="s">
        <v>236</v>
      </c>
    </row>
    <row r="123" spans="1:12">
      <c r="C123" s="7" t="s">
        <v>237</v>
      </c>
      <c r="D123" s="7"/>
      <c r="E123" s="5" t="s">
        <v>238</v>
      </c>
    </row>
  </sheetData>
  <autoFilter ref="B1:L115" xr:uid="{0CB5029A-25CF-48CE-B7D1-48E4A6F629D9}"/>
  <mergeCells count="3">
    <mergeCell ref="C121:D121"/>
    <mergeCell ref="C122:D122"/>
    <mergeCell ref="C123:D123"/>
  </mergeCells>
  <printOptions horizontalCentered="1" gridLines="1"/>
  <pageMargins left="0" right="0" top="0.19685039370078741" bottom="0.19685039370078741" header="0" footer="0"/>
  <pageSetup paperSize="9" scale="86" fitToHeight="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dc23f5-d5fc-4184-9f15-66b8f013eac8" xsi:nil="true"/>
    <lcf76f155ced4ddcb4097134ff3c332f xmlns="193a1ed2-9709-44db-80b7-5a5a715b8b6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7E277AAD434E4B9A57F21B110D67E5" ma:contentTypeVersion="13" ma:contentTypeDescription="Crear nuevo documento." ma:contentTypeScope="" ma:versionID="dd70f48caf17783bc4b8b811cbc7588b">
  <xsd:schema xmlns:xsd="http://www.w3.org/2001/XMLSchema" xmlns:xs="http://www.w3.org/2001/XMLSchema" xmlns:p="http://schemas.microsoft.com/office/2006/metadata/properties" xmlns:ns2="193a1ed2-9709-44db-80b7-5a5a715b8b6d" xmlns:ns3="33dc23f5-d5fc-4184-9f15-66b8f013eac8" targetNamespace="http://schemas.microsoft.com/office/2006/metadata/properties" ma:root="true" ma:fieldsID="9d4cf0845e1b5bd26d55688b51e434d4" ns2:_="" ns3:_="">
    <xsd:import namespace="193a1ed2-9709-44db-80b7-5a5a715b8b6d"/>
    <xsd:import namespace="33dc23f5-d5fc-4184-9f15-66b8f013ea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a1ed2-9709-44db-80b7-5a5a715b8b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956fb098-e0a9-4d41-81e6-17204d230e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c23f5-d5fc-4184-9f15-66b8f013eac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a3ab68d-1047-412b-aadc-a6c3372fdc32}" ma:internalName="TaxCatchAll" ma:showField="CatchAllData" ma:web="33dc23f5-d5fc-4184-9f15-66b8f013ea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3B1C76-5EE7-4987-943C-9DBA5B70E947}"/>
</file>

<file path=customXml/itemProps2.xml><?xml version="1.0" encoding="utf-8"?>
<ds:datastoreItem xmlns:ds="http://schemas.openxmlformats.org/officeDocument/2006/customXml" ds:itemID="{14C3E179-96AF-41ED-A3AD-8C2EFE385430}"/>
</file>

<file path=customXml/itemProps3.xml><?xml version="1.0" encoding="utf-8"?>
<ds:datastoreItem xmlns:ds="http://schemas.openxmlformats.org/officeDocument/2006/customXml" ds:itemID="{67A67BB8-0DEA-4F48-91EB-79F169B2A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Xavier Pallarés</dc:creator>
  <cp:keywords/>
  <dc:description/>
  <cp:lastModifiedBy>Cristina T</cp:lastModifiedBy>
  <cp:revision/>
  <dcterms:created xsi:type="dcterms:W3CDTF">2024-03-21T09:36:00Z</dcterms:created>
  <dcterms:modified xsi:type="dcterms:W3CDTF">2025-09-15T14:39:38Z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0x0101001F7E277AAD434E4B9A57F21B110D67E5</vt:lpwstr>
  </property>
  <property fmtid="{D5CDD505-2E9C-101B-9397-08002B2CF9AE}" pid="3" name="MediaServiceImageTags">
    <vt:lpwstr/>
  </property>
</Properties>
</file>